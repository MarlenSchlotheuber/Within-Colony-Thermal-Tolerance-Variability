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MYS_2024/Fieldwork/Data_26042024/CBASS_ED50/Indonesia_2024/without colony 5/"/>
    </mc:Choice>
  </mc:AlternateContent>
  <xr:revisionPtr revIDLastSave="0" documentId="13_ncr:1_{A4BE3BC7-0F5E-AB4F-B1C7-89092B26D9E7}" xr6:coauthVersionLast="47" xr6:coauthVersionMax="47" xr10:uidLastSave="{00000000-0000-0000-0000-000000000000}"/>
  <bookViews>
    <workbookView xWindow="47880" yWindow="500" windowWidth="19280" windowHeight="21100" xr2:uid="{00000000-000D-0000-FFFF-FFFF00000000}"/>
  </bookViews>
  <sheets>
    <sheet name="20240827_CBASS_ID_GA_ED50_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2+MijDwzZ49oYT0CTCmVWfiYbN+YB+YDcaKDRKYVESE="/>
    </ext>
  </extLst>
</workbook>
</file>

<file path=xl/calcChain.xml><?xml version="1.0" encoding="utf-8"?>
<calcChain xmlns="http://schemas.openxmlformats.org/spreadsheetml/2006/main">
  <c r="G49" i="1" l="1"/>
  <c r="A49" i="1" s="1"/>
  <c r="G48" i="1"/>
  <c r="A48" i="1" s="1"/>
  <c r="G47" i="1"/>
  <c r="A47" i="1" s="1"/>
  <c r="G46" i="1"/>
  <c r="A46" i="1" s="1"/>
  <c r="G45" i="1"/>
  <c r="A45" i="1" s="1"/>
  <c r="G44" i="1"/>
  <c r="A44" i="1" s="1"/>
  <c r="G43" i="1"/>
  <c r="A43" i="1" s="1"/>
  <c r="G42" i="1"/>
  <c r="A42" i="1" s="1"/>
  <c r="G41" i="1"/>
  <c r="A41" i="1" s="1"/>
  <c r="G40" i="1"/>
  <c r="A40" i="1" s="1"/>
  <c r="G39" i="1"/>
  <c r="A39" i="1" s="1"/>
  <c r="G38" i="1"/>
  <c r="A38" i="1" s="1"/>
  <c r="G37" i="1"/>
  <c r="A37" i="1" s="1"/>
  <c r="G36" i="1"/>
  <c r="A36" i="1" s="1"/>
  <c r="G35" i="1"/>
  <c r="A35" i="1" s="1"/>
  <c r="G34" i="1"/>
  <c r="A34" i="1" s="1"/>
  <c r="G33" i="1"/>
  <c r="A33" i="1" s="1"/>
  <c r="G32" i="1"/>
  <c r="A32" i="1" s="1"/>
  <c r="G31" i="1"/>
  <c r="A31" i="1" s="1"/>
  <c r="G30" i="1"/>
  <c r="A30" i="1" s="1"/>
  <c r="G29" i="1"/>
  <c r="A29" i="1" s="1"/>
  <c r="G28" i="1"/>
  <c r="A28" i="1"/>
  <c r="G27" i="1"/>
  <c r="A27" i="1" s="1"/>
  <c r="G26" i="1"/>
  <c r="A26" i="1" s="1"/>
  <c r="G25" i="1"/>
  <c r="A25" i="1" s="1"/>
  <c r="G24" i="1"/>
  <c r="A24" i="1" s="1"/>
  <c r="G23" i="1"/>
  <c r="A23" i="1"/>
  <c r="G22" i="1"/>
  <c r="A22" i="1" s="1"/>
  <c r="G21" i="1"/>
  <c r="A21" i="1" s="1"/>
  <c r="G20" i="1"/>
  <c r="A20" i="1" s="1"/>
  <c r="G19" i="1"/>
  <c r="A19" i="1" s="1"/>
  <c r="G18" i="1"/>
  <c r="A18" i="1" s="1"/>
  <c r="G17" i="1"/>
  <c r="A17" i="1"/>
  <c r="G16" i="1"/>
  <c r="A16" i="1" s="1"/>
  <c r="G15" i="1"/>
  <c r="A15" i="1" s="1"/>
  <c r="G14" i="1"/>
  <c r="A14" i="1" s="1"/>
  <c r="G13" i="1"/>
  <c r="A13" i="1" s="1"/>
  <c r="G12" i="1"/>
  <c r="A12" i="1" s="1"/>
  <c r="G11" i="1"/>
  <c r="A11" i="1" s="1"/>
  <c r="G10" i="1"/>
  <c r="A10" i="1" s="1"/>
  <c r="G9" i="1"/>
  <c r="A9" i="1" s="1"/>
  <c r="G8" i="1"/>
  <c r="A8" i="1"/>
  <c r="G7" i="1"/>
  <c r="A7" i="1" s="1"/>
  <c r="G6" i="1"/>
  <c r="A6" i="1" s="1"/>
  <c r="G5" i="1"/>
  <c r="A5" i="1" s="1"/>
  <c r="G4" i="1"/>
  <c r="A4" i="1" s="1"/>
  <c r="G3" i="1"/>
  <c r="A3" i="1"/>
  <c r="G2" i="1"/>
  <c r="A2" i="1" s="1"/>
</calcChain>
</file>

<file path=xl/sharedStrings.xml><?xml version="1.0" encoding="utf-8"?>
<sst xmlns="http://schemas.openxmlformats.org/spreadsheetml/2006/main" count="203" uniqueCount="16">
  <si>
    <t>Samplename</t>
  </si>
  <si>
    <t>Date</t>
  </si>
  <si>
    <t>Country</t>
  </si>
  <si>
    <t>Site</t>
  </si>
  <si>
    <t>Condition</t>
  </si>
  <si>
    <t>Species</t>
  </si>
  <si>
    <t>Genotype</t>
  </si>
  <si>
    <t>Temperature</t>
  </si>
  <si>
    <t>Timepoint</t>
  </si>
  <si>
    <t>PAM</t>
  </si>
  <si>
    <t>ID</t>
  </si>
  <si>
    <t>GA</t>
  </si>
  <si>
    <t>Top</t>
  </si>
  <si>
    <t>Por</t>
  </si>
  <si>
    <t>Bottom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</si>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</sst>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3" fillId="0" borderId="0" xfId="0" applyNumberFormat="1" applyFont="1"/>
    <xf numFmtId="0" fontId="2" fillId="0" borderId="0" xfId="0" applyFont="1" applyAlignment="1">
      <alignment horizontal="right"/>
    </xf>
    <xf numFmtId="0" fontId="3" fillId="0" borderId="0" xfId="0" applyFont="1"/>
    <xf numFmtId="2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9"/>
  <sheetViews>
    <sheetView tabSelected="1" topLeftCell="A6" workbookViewId="0">
      <selection activeCell="A46" sqref="A46:XFD47"/>
    </sheetView>
  </sheetViews>
  <sheetFormatPr baseColWidth="10" defaultColWidth="11.1640625" defaultRowHeight="15" customHeight="1" x14ac:dyDescent="0.2"/>
  <cols>
    <col min="1" max="1" width="33" customWidth="1"/>
    <col min="2" max="2" width="12.1640625" customWidth="1"/>
    <col min="3" max="3" width="8.5" customWidth="1"/>
    <col min="4" max="4" width="5.5" customWidth="1"/>
    <col min="5" max="7" width="8.5" customWidth="1"/>
  </cols>
  <sheetData>
    <row r="1" spans="1:11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7" t="s">
        <v>15</v>
      </c>
    </row>
    <row r="2" spans="1:11" ht="15" customHeight="1" x14ac:dyDescent="0.2">
      <c r="A2" s="1" t="str">
        <f t="shared" ref="A2:A49" si="0">B2&amp;"_"&amp;C2&amp;"_"&amp;D2&amp;"_"&amp;F2&amp;"_"&amp;G2&amp;"_"&amp;E2&amp;"_"&amp;H2&amp;"_"&amp;I2</f>
        <v>20240827_ID_GA_Por_01_Top_28_420</v>
      </c>
      <c r="B2" s="1">
        <v>20240827</v>
      </c>
      <c r="C2" s="1" t="s">
        <v>10</v>
      </c>
      <c r="D2" s="1" t="s">
        <v>11</v>
      </c>
      <c r="E2" s="1" t="s">
        <v>12</v>
      </c>
      <c r="F2" s="1" t="s">
        <v>13</v>
      </c>
      <c r="G2" s="4" t="str">
        <f t="shared" ref="G2:G3" si="1">"01"</f>
        <v>01</v>
      </c>
      <c r="H2" s="1">
        <v>28</v>
      </c>
      <c r="I2" s="1">
        <v>420</v>
      </c>
      <c r="J2" s="6">
        <v>0.57499999999999996</v>
      </c>
      <c r="K2" s="1">
        <v>1</v>
      </c>
    </row>
    <row r="3" spans="1:11" ht="15" customHeight="1" x14ac:dyDescent="0.2">
      <c r="A3" s="1" t="str">
        <f t="shared" si="0"/>
        <v>20240827_ID_GA_Por_01_Bottom_28_420</v>
      </c>
      <c r="B3" s="1">
        <v>20240827</v>
      </c>
      <c r="C3" s="1" t="s">
        <v>10</v>
      </c>
      <c r="D3" s="1" t="s">
        <v>11</v>
      </c>
      <c r="E3" s="1" t="s">
        <v>14</v>
      </c>
      <c r="F3" s="1" t="s">
        <v>13</v>
      </c>
      <c r="G3" s="4" t="str">
        <f t="shared" si="1"/>
        <v>01</v>
      </c>
      <c r="H3" s="1">
        <v>28</v>
      </c>
      <c r="I3" s="1">
        <v>420</v>
      </c>
      <c r="J3" s="2">
        <v>0.52900000000000003</v>
      </c>
      <c r="K3" s="5">
        <v>2.5</v>
      </c>
    </row>
    <row r="4" spans="1:11" ht="15" customHeight="1" x14ac:dyDescent="0.2">
      <c r="A4" s="1" t="str">
        <f t="shared" si="0"/>
        <v>20240827_ID_GA_Por_02_Top_28_420</v>
      </c>
      <c r="B4" s="1">
        <v>20240827</v>
      </c>
      <c r="C4" s="1" t="s">
        <v>10</v>
      </c>
      <c r="D4" s="1" t="s">
        <v>11</v>
      </c>
      <c r="E4" s="1" t="s">
        <v>12</v>
      </c>
      <c r="F4" s="1" t="s">
        <v>13</v>
      </c>
      <c r="G4" s="4" t="str">
        <f t="shared" ref="G4:G5" si="2">"02"</f>
        <v>02</v>
      </c>
      <c r="H4" s="1">
        <v>28</v>
      </c>
      <c r="I4" s="1">
        <v>420</v>
      </c>
      <c r="J4" s="2">
        <v>0.57699999999999996</v>
      </c>
      <c r="K4" s="1">
        <v>2.4</v>
      </c>
    </row>
    <row r="5" spans="1:11" ht="15" customHeight="1" x14ac:dyDescent="0.2">
      <c r="A5" s="1" t="str">
        <f t="shared" si="0"/>
        <v>20240827_ID_GA_Por_02_Bottom_28_420</v>
      </c>
      <c r="B5" s="1">
        <v>20240827</v>
      </c>
      <c r="C5" s="1" t="s">
        <v>10</v>
      </c>
      <c r="D5" s="1" t="s">
        <v>11</v>
      </c>
      <c r="E5" s="1" t="s">
        <v>14</v>
      </c>
      <c r="F5" s="1" t="s">
        <v>13</v>
      </c>
      <c r="G5" s="4" t="str">
        <f t="shared" si="2"/>
        <v>02</v>
      </c>
      <c r="H5" s="1">
        <v>28</v>
      </c>
      <c r="I5" s="1">
        <v>420</v>
      </c>
      <c r="J5" s="2">
        <v>0.54900000000000004</v>
      </c>
      <c r="K5" s="1">
        <v>3.7</v>
      </c>
    </row>
    <row r="6" spans="1:11" ht="15" customHeight="1" x14ac:dyDescent="0.2">
      <c r="A6" s="1" t="str">
        <f t="shared" si="0"/>
        <v>20240827_ID_GA_Por_03_Top_28_420</v>
      </c>
      <c r="B6" s="1">
        <v>20240827</v>
      </c>
      <c r="C6" s="1" t="s">
        <v>10</v>
      </c>
      <c r="D6" s="1" t="s">
        <v>11</v>
      </c>
      <c r="E6" s="1" t="s">
        <v>12</v>
      </c>
      <c r="F6" s="1" t="s">
        <v>13</v>
      </c>
      <c r="G6" s="4" t="str">
        <f t="shared" ref="G6:G7" si="3">"03"</f>
        <v>03</v>
      </c>
      <c r="H6" s="1">
        <v>28</v>
      </c>
      <c r="I6" s="1">
        <v>420</v>
      </c>
      <c r="J6" s="2">
        <v>0.58199999999999996</v>
      </c>
      <c r="K6" s="1">
        <v>2.5</v>
      </c>
    </row>
    <row r="7" spans="1:11" ht="15" customHeight="1" x14ac:dyDescent="0.2">
      <c r="A7" s="1" t="str">
        <f t="shared" si="0"/>
        <v>20240827_ID_GA_Por_03_Bottom_28_420</v>
      </c>
      <c r="B7" s="1">
        <v>20240827</v>
      </c>
      <c r="C7" s="1" t="s">
        <v>10</v>
      </c>
      <c r="D7" s="1" t="s">
        <v>11</v>
      </c>
      <c r="E7" s="1" t="s">
        <v>14</v>
      </c>
      <c r="F7" s="1" t="s">
        <v>13</v>
      </c>
      <c r="G7" s="4" t="str">
        <f t="shared" si="3"/>
        <v>03</v>
      </c>
      <c r="H7" s="1">
        <v>28</v>
      </c>
      <c r="I7" s="1">
        <v>420</v>
      </c>
      <c r="J7" s="2">
        <v>0.57799999999999996</v>
      </c>
      <c r="K7" s="1">
        <v>4</v>
      </c>
    </row>
    <row r="8" spans="1:11" ht="15" customHeight="1" x14ac:dyDescent="0.2">
      <c r="A8" s="1" t="str">
        <f t="shared" si="0"/>
        <v>20240827_ID_GA_Por_04_Top_28_420</v>
      </c>
      <c r="B8" s="1">
        <v>20240827</v>
      </c>
      <c r="C8" s="1" t="s">
        <v>10</v>
      </c>
      <c r="D8" s="1" t="s">
        <v>11</v>
      </c>
      <c r="E8" s="1" t="s">
        <v>12</v>
      </c>
      <c r="F8" s="1" t="s">
        <v>13</v>
      </c>
      <c r="G8" s="4" t="str">
        <f t="shared" ref="G8:G9" si="4">"04"</f>
        <v>04</v>
      </c>
      <c r="H8" s="1">
        <v>28</v>
      </c>
      <c r="I8" s="1">
        <v>420</v>
      </c>
      <c r="J8" s="2">
        <v>0.58399999999999996</v>
      </c>
      <c r="K8" s="1">
        <v>3.6</v>
      </c>
    </row>
    <row r="9" spans="1:11" ht="15" customHeight="1" x14ac:dyDescent="0.2">
      <c r="A9" s="1" t="str">
        <f t="shared" si="0"/>
        <v>20240827_ID_GA_Por_04_Bottom_28_420</v>
      </c>
      <c r="B9" s="1">
        <v>20240827</v>
      </c>
      <c r="C9" s="1" t="s">
        <v>10</v>
      </c>
      <c r="D9" s="1" t="s">
        <v>11</v>
      </c>
      <c r="E9" s="1" t="s">
        <v>14</v>
      </c>
      <c r="F9" s="1" t="s">
        <v>13</v>
      </c>
      <c r="G9" s="4" t="str">
        <f t="shared" si="4"/>
        <v>04</v>
      </c>
      <c r="H9" s="1">
        <v>28</v>
      </c>
      <c r="I9" s="1">
        <v>420</v>
      </c>
      <c r="J9" s="2">
        <v>0.502</v>
      </c>
      <c r="K9" s="1">
        <v>4.3</v>
      </c>
    </row>
    <row r="10" spans="1:11" ht="15" customHeight="1" x14ac:dyDescent="0.2">
      <c r="A10" s="1" t="str">
        <f t="shared" si="0"/>
        <v>20240827_ID_GA_Por_06_Top_28_420</v>
      </c>
      <c r="B10" s="1">
        <v>20240827</v>
      </c>
      <c r="C10" s="1" t="s">
        <v>10</v>
      </c>
      <c r="D10" s="1" t="s">
        <v>11</v>
      </c>
      <c r="E10" s="1" t="s">
        <v>12</v>
      </c>
      <c r="F10" s="1" t="s">
        <v>13</v>
      </c>
      <c r="G10" s="4" t="str">
        <f t="shared" ref="G10:G11" si="5">"06"</f>
        <v>06</v>
      </c>
      <c r="H10" s="1">
        <v>28</v>
      </c>
      <c r="I10" s="1">
        <v>420</v>
      </c>
      <c r="J10" s="2">
        <v>0.56200000000000006</v>
      </c>
      <c r="K10" s="1">
        <v>4.5999999999999996</v>
      </c>
    </row>
    <row r="11" spans="1:11" ht="15" customHeight="1" x14ac:dyDescent="0.2">
      <c r="A11" s="1" t="str">
        <f t="shared" si="0"/>
        <v>20240827_ID_GA_Por_06_Bottom_28_420</v>
      </c>
      <c r="B11" s="1">
        <v>20240827</v>
      </c>
      <c r="C11" s="1" t="s">
        <v>10</v>
      </c>
      <c r="D11" s="1" t="s">
        <v>11</v>
      </c>
      <c r="E11" s="1" t="s">
        <v>14</v>
      </c>
      <c r="F11" s="1" t="s">
        <v>13</v>
      </c>
      <c r="G11" s="4" t="str">
        <f t="shared" si="5"/>
        <v>06</v>
      </c>
      <c r="H11" s="1">
        <v>28</v>
      </c>
      <c r="I11" s="1">
        <v>420</v>
      </c>
      <c r="J11" s="2">
        <v>0.48299999999999998</v>
      </c>
      <c r="K11" s="1">
        <v>6.2</v>
      </c>
    </row>
    <row r="12" spans="1:11" ht="15" customHeight="1" x14ac:dyDescent="0.2">
      <c r="A12" s="1" t="str">
        <f t="shared" si="0"/>
        <v>20240827_ID_GA_Por_07_Top_28_420</v>
      </c>
      <c r="B12" s="1">
        <v>20240827</v>
      </c>
      <c r="C12" s="1" t="s">
        <v>10</v>
      </c>
      <c r="D12" s="1" t="s">
        <v>11</v>
      </c>
      <c r="E12" s="1" t="s">
        <v>12</v>
      </c>
      <c r="F12" s="1" t="s">
        <v>13</v>
      </c>
      <c r="G12" s="4" t="str">
        <f t="shared" ref="G12:G13" si="6">"07"</f>
        <v>07</v>
      </c>
      <c r="H12" s="1">
        <v>28</v>
      </c>
      <c r="I12" s="1">
        <v>420</v>
      </c>
      <c r="J12" s="2">
        <v>0.59099999999999997</v>
      </c>
      <c r="K12" s="1">
        <v>3.2</v>
      </c>
    </row>
    <row r="13" spans="1:11" ht="15" customHeight="1" x14ac:dyDescent="0.2">
      <c r="A13" s="1" t="str">
        <f t="shared" si="0"/>
        <v>20240827_ID_GA_Por_07_Bottom_28_420</v>
      </c>
      <c r="B13" s="1">
        <v>20240827</v>
      </c>
      <c r="C13" s="1" t="s">
        <v>10</v>
      </c>
      <c r="D13" s="1" t="s">
        <v>11</v>
      </c>
      <c r="E13" s="1" t="s">
        <v>14</v>
      </c>
      <c r="F13" s="1" t="s">
        <v>13</v>
      </c>
      <c r="G13" s="4" t="str">
        <f t="shared" si="6"/>
        <v>07</v>
      </c>
      <c r="H13" s="1">
        <v>28</v>
      </c>
      <c r="I13" s="1">
        <v>420</v>
      </c>
      <c r="J13" s="2">
        <v>0.56699999999999995</v>
      </c>
      <c r="K13" s="1">
        <v>4.7</v>
      </c>
    </row>
    <row r="14" spans="1:11" ht="15" customHeight="1" x14ac:dyDescent="0.2">
      <c r="A14" s="1" t="str">
        <f t="shared" si="0"/>
        <v>20240827_ID_GA_Por_01_Top_34_420</v>
      </c>
      <c r="B14" s="1">
        <v>20240827</v>
      </c>
      <c r="C14" s="1" t="s">
        <v>10</v>
      </c>
      <c r="D14" s="1" t="s">
        <v>11</v>
      </c>
      <c r="E14" s="1" t="s">
        <v>12</v>
      </c>
      <c r="F14" s="1" t="s">
        <v>13</v>
      </c>
      <c r="G14" s="4" t="str">
        <f t="shared" ref="G14:G15" si="7">"01"</f>
        <v>01</v>
      </c>
      <c r="H14" s="1">
        <v>34</v>
      </c>
      <c r="I14" s="1">
        <v>420</v>
      </c>
      <c r="J14" s="2">
        <v>0.57899999999999996</v>
      </c>
      <c r="K14" s="1">
        <v>1</v>
      </c>
    </row>
    <row r="15" spans="1:11" ht="15" customHeight="1" x14ac:dyDescent="0.2">
      <c r="A15" s="1" t="str">
        <f t="shared" si="0"/>
        <v>20240827_ID_GA_Por_01_Bottom_34_420</v>
      </c>
      <c r="B15" s="1">
        <v>20240827</v>
      </c>
      <c r="C15" s="1" t="s">
        <v>10</v>
      </c>
      <c r="D15" s="1" t="s">
        <v>11</v>
      </c>
      <c r="E15" s="1" t="s">
        <v>14</v>
      </c>
      <c r="F15" s="1" t="s">
        <v>13</v>
      </c>
      <c r="G15" s="4" t="str">
        <f t="shared" si="7"/>
        <v>01</v>
      </c>
      <c r="H15" s="1">
        <v>34</v>
      </c>
      <c r="I15" s="1">
        <v>420</v>
      </c>
      <c r="J15" s="2">
        <v>0.53200000000000003</v>
      </c>
      <c r="K15" s="5">
        <v>2.5</v>
      </c>
    </row>
    <row r="16" spans="1:11" ht="15" customHeight="1" x14ac:dyDescent="0.2">
      <c r="A16" s="1" t="str">
        <f t="shared" si="0"/>
        <v>20240827_ID_GA_Por_02_Top_34_420</v>
      </c>
      <c r="B16" s="1">
        <v>20240827</v>
      </c>
      <c r="C16" s="1" t="s">
        <v>10</v>
      </c>
      <c r="D16" s="1" t="s">
        <v>11</v>
      </c>
      <c r="E16" s="1" t="s">
        <v>12</v>
      </c>
      <c r="F16" s="1" t="s">
        <v>13</v>
      </c>
      <c r="G16" s="4" t="str">
        <f t="shared" ref="G16:G17" si="8">"02"</f>
        <v>02</v>
      </c>
      <c r="H16" s="1">
        <v>34</v>
      </c>
      <c r="I16" s="1">
        <v>420</v>
      </c>
      <c r="J16" s="2">
        <v>0.58799999999999997</v>
      </c>
      <c r="K16" s="1">
        <v>2.4</v>
      </c>
    </row>
    <row r="17" spans="1:11" ht="15" customHeight="1" x14ac:dyDescent="0.2">
      <c r="A17" s="1" t="str">
        <f t="shared" si="0"/>
        <v>20240827_ID_GA_Por_02_Bottom_34_420</v>
      </c>
      <c r="B17" s="1">
        <v>20240827</v>
      </c>
      <c r="C17" s="1" t="s">
        <v>10</v>
      </c>
      <c r="D17" s="1" t="s">
        <v>11</v>
      </c>
      <c r="E17" s="1" t="s">
        <v>14</v>
      </c>
      <c r="F17" s="1" t="s">
        <v>13</v>
      </c>
      <c r="G17" s="4" t="str">
        <f t="shared" si="8"/>
        <v>02</v>
      </c>
      <c r="H17" s="1">
        <v>34</v>
      </c>
      <c r="I17" s="1">
        <v>420</v>
      </c>
      <c r="J17" s="2">
        <v>0.56200000000000006</v>
      </c>
      <c r="K17" s="1">
        <v>3.7</v>
      </c>
    </row>
    <row r="18" spans="1:11" ht="15" customHeight="1" x14ac:dyDescent="0.2">
      <c r="A18" s="1" t="str">
        <f t="shared" si="0"/>
        <v>20240827_ID_GA_Por_03_Top_34_420</v>
      </c>
      <c r="B18" s="1">
        <v>20240827</v>
      </c>
      <c r="C18" s="1" t="s">
        <v>10</v>
      </c>
      <c r="D18" s="1" t="s">
        <v>11</v>
      </c>
      <c r="E18" s="1" t="s">
        <v>12</v>
      </c>
      <c r="F18" s="1" t="s">
        <v>13</v>
      </c>
      <c r="G18" s="4" t="str">
        <f t="shared" ref="G18:G19" si="9">"03"</f>
        <v>03</v>
      </c>
      <c r="H18" s="1">
        <v>34</v>
      </c>
      <c r="I18" s="1">
        <v>420</v>
      </c>
      <c r="J18" s="2">
        <v>0.57599999999999996</v>
      </c>
      <c r="K18" s="1">
        <v>2.5</v>
      </c>
    </row>
    <row r="19" spans="1:11" ht="15" customHeight="1" x14ac:dyDescent="0.2">
      <c r="A19" s="1" t="str">
        <f t="shared" si="0"/>
        <v>20240827_ID_GA_Por_03_Bottom_34_420</v>
      </c>
      <c r="B19" s="1">
        <v>20240827</v>
      </c>
      <c r="C19" s="1" t="s">
        <v>10</v>
      </c>
      <c r="D19" s="1" t="s">
        <v>11</v>
      </c>
      <c r="E19" s="1" t="s">
        <v>14</v>
      </c>
      <c r="F19" s="1" t="s">
        <v>13</v>
      </c>
      <c r="G19" s="4" t="str">
        <f t="shared" si="9"/>
        <v>03</v>
      </c>
      <c r="H19" s="1">
        <v>34</v>
      </c>
      <c r="I19" s="1">
        <v>420</v>
      </c>
      <c r="J19" s="2">
        <v>0.60899999999999999</v>
      </c>
      <c r="K19" s="1">
        <v>4</v>
      </c>
    </row>
    <row r="20" spans="1:11" ht="15" customHeight="1" x14ac:dyDescent="0.2">
      <c r="A20" s="1" t="str">
        <f t="shared" si="0"/>
        <v>20240827_ID_GA_Por_04_Top_34_420</v>
      </c>
      <c r="B20" s="1">
        <v>20240827</v>
      </c>
      <c r="C20" s="1" t="s">
        <v>10</v>
      </c>
      <c r="D20" s="1" t="s">
        <v>11</v>
      </c>
      <c r="E20" s="1" t="s">
        <v>12</v>
      </c>
      <c r="F20" s="1" t="s">
        <v>13</v>
      </c>
      <c r="G20" s="4" t="str">
        <f t="shared" ref="G20:G21" si="10">"04"</f>
        <v>04</v>
      </c>
      <c r="H20" s="1">
        <v>34</v>
      </c>
      <c r="I20" s="1">
        <v>420</v>
      </c>
      <c r="J20" s="2">
        <v>0.55900000000000005</v>
      </c>
      <c r="K20" s="1">
        <v>3.6</v>
      </c>
    </row>
    <row r="21" spans="1:11" ht="15" customHeight="1" x14ac:dyDescent="0.2">
      <c r="A21" s="1" t="str">
        <f t="shared" si="0"/>
        <v>20240827_ID_GA_Por_04_Bottom_34_420</v>
      </c>
      <c r="B21" s="1">
        <v>20240827</v>
      </c>
      <c r="C21" s="1" t="s">
        <v>10</v>
      </c>
      <c r="D21" s="1" t="s">
        <v>11</v>
      </c>
      <c r="E21" s="1" t="s">
        <v>14</v>
      </c>
      <c r="F21" s="1" t="s">
        <v>13</v>
      </c>
      <c r="G21" s="4" t="str">
        <f t="shared" si="10"/>
        <v>04</v>
      </c>
      <c r="H21" s="1">
        <v>34</v>
      </c>
      <c r="I21" s="1">
        <v>420</v>
      </c>
      <c r="J21" s="2">
        <v>0.38200000000000001</v>
      </c>
      <c r="K21" s="1">
        <v>4.3</v>
      </c>
    </row>
    <row r="22" spans="1:11" ht="15" customHeight="1" x14ac:dyDescent="0.2">
      <c r="A22" s="1" t="str">
        <f t="shared" si="0"/>
        <v>20240827_ID_GA_Por_06_Top_34_420</v>
      </c>
      <c r="B22" s="1">
        <v>20240827</v>
      </c>
      <c r="C22" s="1" t="s">
        <v>10</v>
      </c>
      <c r="D22" s="1" t="s">
        <v>11</v>
      </c>
      <c r="E22" s="1" t="s">
        <v>12</v>
      </c>
      <c r="F22" s="1" t="s">
        <v>13</v>
      </c>
      <c r="G22" s="4" t="str">
        <f t="shared" ref="G22:G23" si="11">"06"</f>
        <v>06</v>
      </c>
      <c r="H22" s="1">
        <v>34</v>
      </c>
      <c r="I22" s="1">
        <v>420</v>
      </c>
      <c r="J22" s="2">
        <v>0.57199999999999995</v>
      </c>
      <c r="K22" s="1">
        <v>4.5999999999999996</v>
      </c>
    </row>
    <row r="23" spans="1:11" ht="15" customHeight="1" x14ac:dyDescent="0.2">
      <c r="A23" s="1" t="str">
        <f t="shared" si="0"/>
        <v>20240827_ID_GA_Por_06_Bottom_34_420</v>
      </c>
      <c r="B23" s="1">
        <v>20240827</v>
      </c>
      <c r="C23" s="1" t="s">
        <v>10</v>
      </c>
      <c r="D23" s="1" t="s">
        <v>11</v>
      </c>
      <c r="E23" s="1" t="s">
        <v>14</v>
      </c>
      <c r="F23" s="1" t="s">
        <v>13</v>
      </c>
      <c r="G23" s="4" t="str">
        <f t="shared" si="11"/>
        <v>06</v>
      </c>
      <c r="H23" s="1">
        <v>34</v>
      </c>
      <c r="I23" s="1">
        <v>420</v>
      </c>
      <c r="J23" s="2">
        <v>0.54700000000000004</v>
      </c>
      <c r="K23" s="1">
        <v>6.2</v>
      </c>
    </row>
    <row r="24" spans="1:11" ht="16" x14ac:dyDescent="0.2">
      <c r="A24" s="1" t="str">
        <f t="shared" si="0"/>
        <v>20240827_ID_GA_Por_07_Top_34_420</v>
      </c>
      <c r="B24" s="1">
        <v>20240827</v>
      </c>
      <c r="C24" s="1" t="s">
        <v>10</v>
      </c>
      <c r="D24" s="1" t="s">
        <v>11</v>
      </c>
      <c r="E24" s="1" t="s">
        <v>12</v>
      </c>
      <c r="F24" s="1" t="s">
        <v>13</v>
      </c>
      <c r="G24" s="4" t="str">
        <f t="shared" ref="G24:G25" si="12">"07"</f>
        <v>07</v>
      </c>
      <c r="H24" s="5">
        <v>34</v>
      </c>
      <c r="I24" s="1">
        <v>420</v>
      </c>
      <c r="J24" s="2">
        <v>0.63100000000000001</v>
      </c>
      <c r="K24" s="1">
        <v>3.2</v>
      </c>
    </row>
    <row r="25" spans="1:11" ht="16" x14ac:dyDescent="0.2">
      <c r="A25" s="1" t="str">
        <f t="shared" si="0"/>
        <v>20240827_ID_GA_Por_07_Bottom_34_420</v>
      </c>
      <c r="B25" s="1">
        <v>20240827</v>
      </c>
      <c r="C25" s="1" t="s">
        <v>10</v>
      </c>
      <c r="D25" s="1" t="s">
        <v>11</v>
      </c>
      <c r="E25" s="1" t="s">
        <v>14</v>
      </c>
      <c r="F25" s="1" t="s">
        <v>13</v>
      </c>
      <c r="G25" s="4" t="str">
        <f t="shared" si="12"/>
        <v>07</v>
      </c>
      <c r="H25" s="5">
        <v>34</v>
      </c>
      <c r="I25" s="1">
        <v>420</v>
      </c>
      <c r="J25" s="2">
        <v>0.58599999999999997</v>
      </c>
      <c r="K25" s="1">
        <v>4.7</v>
      </c>
    </row>
    <row r="26" spans="1:11" ht="16" x14ac:dyDescent="0.2">
      <c r="A26" s="1" t="str">
        <f t="shared" si="0"/>
        <v>20240827_ID_GA_Por_01_Top_37_420</v>
      </c>
      <c r="B26" s="1">
        <v>20240827</v>
      </c>
      <c r="C26" s="1" t="s">
        <v>10</v>
      </c>
      <c r="D26" s="1" t="s">
        <v>11</v>
      </c>
      <c r="E26" s="1" t="s">
        <v>12</v>
      </c>
      <c r="F26" s="1" t="s">
        <v>13</v>
      </c>
      <c r="G26" s="4" t="str">
        <f t="shared" ref="G26:G27" si="13">"01"</f>
        <v>01</v>
      </c>
      <c r="H26" s="1">
        <v>37</v>
      </c>
      <c r="I26" s="1">
        <v>420</v>
      </c>
      <c r="J26" s="2">
        <v>0.495</v>
      </c>
      <c r="K26" s="1">
        <v>1</v>
      </c>
    </row>
    <row r="27" spans="1:11" ht="16" x14ac:dyDescent="0.2">
      <c r="A27" s="1" t="str">
        <f t="shared" si="0"/>
        <v>20240827_ID_GA_Por_01_Bottom_37_420</v>
      </c>
      <c r="B27" s="1">
        <v>20240827</v>
      </c>
      <c r="C27" s="1" t="s">
        <v>10</v>
      </c>
      <c r="D27" s="1" t="s">
        <v>11</v>
      </c>
      <c r="E27" s="1" t="s">
        <v>14</v>
      </c>
      <c r="F27" s="1" t="s">
        <v>13</v>
      </c>
      <c r="G27" s="4" t="str">
        <f t="shared" si="13"/>
        <v>01</v>
      </c>
      <c r="H27" s="1">
        <v>37</v>
      </c>
      <c r="I27" s="1">
        <v>420</v>
      </c>
      <c r="J27" s="2">
        <v>0.32400000000000001</v>
      </c>
      <c r="K27" s="5">
        <v>2.5</v>
      </c>
    </row>
    <row r="28" spans="1:11" ht="16" x14ac:dyDescent="0.2">
      <c r="A28" s="1" t="str">
        <f t="shared" si="0"/>
        <v>20240827_ID_GA_Por_02_Top_37_420</v>
      </c>
      <c r="B28" s="1">
        <v>20240827</v>
      </c>
      <c r="C28" s="1" t="s">
        <v>10</v>
      </c>
      <c r="D28" s="1" t="s">
        <v>11</v>
      </c>
      <c r="E28" s="1" t="s">
        <v>12</v>
      </c>
      <c r="F28" s="1" t="s">
        <v>13</v>
      </c>
      <c r="G28" s="4" t="str">
        <f t="shared" ref="G28:G29" si="14">"02"</f>
        <v>02</v>
      </c>
      <c r="H28" s="1">
        <v>37</v>
      </c>
      <c r="I28" s="1">
        <v>420</v>
      </c>
      <c r="J28" s="2">
        <v>0.33800000000000002</v>
      </c>
      <c r="K28" s="1">
        <v>2.4</v>
      </c>
    </row>
    <row r="29" spans="1:11" ht="16" x14ac:dyDescent="0.2">
      <c r="A29" s="1" t="str">
        <f t="shared" si="0"/>
        <v>20240827_ID_GA_Por_02_Bottom_37_420</v>
      </c>
      <c r="B29" s="1">
        <v>20240827</v>
      </c>
      <c r="C29" s="1" t="s">
        <v>10</v>
      </c>
      <c r="D29" s="1" t="s">
        <v>11</v>
      </c>
      <c r="E29" s="1" t="s">
        <v>14</v>
      </c>
      <c r="F29" s="1" t="s">
        <v>13</v>
      </c>
      <c r="G29" s="4" t="str">
        <f t="shared" si="14"/>
        <v>02</v>
      </c>
      <c r="H29" s="1">
        <v>37</v>
      </c>
      <c r="I29" s="1">
        <v>420</v>
      </c>
      <c r="J29" s="2">
        <v>0.39400000000000002</v>
      </c>
      <c r="K29" s="1">
        <v>3.7</v>
      </c>
    </row>
    <row r="30" spans="1:11" ht="16" x14ac:dyDescent="0.2">
      <c r="A30" s="1" t="str">
        <f t="shared" si="0"/>
        <v>20240827_ID_GA_Por_03_Top_37_420</v>
      </c>
      <c r="B30" s="1">
        <v>20240827</v>
      </c>
      <c r="C30" s="1" t="s">
        <v>10</v>
      </c>
      <c r="D30" s="1" t="s">
        <v>11</v>
      </c>
      <c r="E30" s="1" t="s">
        <v>12</v>
      </c>
      <c r="F30" s="1" t="s">
        <v>13</v>
      </c>
      <c r="G30" s="4" t="str">
        <f t="shared" ref="G30:G31" si="15">"03"</f>
        <v>03</v>
      </c>
      <c r="H30" s="1">
        <v>37</v>
      </c>
      <c r="I30" s="1">
        <v>420</v>
      </c>
      <c r="J30" s="2">
        <v>0.46400000000000002</v>
      </c>
      <c r="K30" s="1">
        <v>2.5</v>
      </c>
    </row>
    <row r="31" spans="1:11" ht="16" x14ac:dyDescent="0.2">
      <c r="A31" s="1" t="str">
        <f t="shared" si="0"/>
        <v>20240827_ID_GA_Por_03_Bottom_37_420</v>
      </c>
      <c r="B31" s="1">
        <v>20240827</v>
      </c>
      <c r="C31" s="1" t="s">
        <v>10</v>
      </c>
      <c r="D31" s="1" t="s">
        <v>11</v>
      </c>
      <c r="E31" s="1" t="s">
        <v>14</v>
      </c>
      <c r="F31" s="1" t="s">
        <v>13</v>
      </c>
      <c r="G31" s="4" t="str">
        <f t="shared" si="15"/>
        <v>03</v>
      </c>
      <c r="H31" s="1">
        <v>37</v>
      </c>
      <c r="I31" s="1">
        <v>420</v>
      </c>
      <c r="J31" s="2">
        <v>0.434</v>
      </c>
      <c r="K31" s="1">
        <v>4</v>
      </c>
    </row>
    <row r="32" spans="1:11" ht="16" x14ac:dyDescent="0.2">
      <c r="A32" s="1" t="str">
        <f t="shared" si="0"/>
        <v>20240827_ID_GA_Por_04_Top_37_420</v>
      </c>
      <c r="B32" s="1">
        <v>20240827</v>
      </c>
      <c r="C32" s="1" t="s">
        <v>10</v>
      </c>
      <c r="D32" s="1" t="s">
        <v>11</v>
      </c>
      <c r="E32" s="1" t="s">
        <v>12</v>
      </c>
      <c r="F32" s="1" t="s">
        <v>13</v>
      </c>
      <c r="G32" s="4" t="str">
        <f t="shared" ref="G32:G33" si="16">"04"</f>
        <v>04</v>
      </c>
      <c r="H32" s="1">
        <v>37</v>
      </c>
      <c r="I32" s="1">
        <v>420</v>
      </c>
      <c r="J32" s="2">
        <v>0.40699999999999997</v>
      </c>
      <c r="K32" s="1">
        <v>3.6</v>
      </c>
    </row>
    <row r="33" spans="1:11" ht="16" x14ac:dyDescent="0.2">
      <c r="A33" s="1" t="str">
        <f t="shared" si="0"/>
        <v>20240827_ID_GA_Por_04_Bottom_37_420</v>
      </c>
      <c r="B33" s="1">
        <v>20240827</v>
      </c>
      <c r="C33" s="1" t="s">
        <v>10</v>
      </c>
      <c r="D33" s="1" t="s">
        <v>11</v>
      </c>
      <c r="E33" s="1" t="s">
        <v>14</v>
      </c>
      <c r="F33" s="1" t="s">
        <v>13</v>
      </c>
      <c r="G33" s="4" t="str">
        <f t="shared" si="16"/>
        <v>04</v>
      </c>
      <c r="H33" s="1">
        <v>37</v>
      </c>
      <c r="I33" s="1">
        <v>420</v>
      </c>
      <c r="J33" s="2">
        <v>0.34899999999999998</v>
      </c>
      <c r="K33" s="1">
        <v>4.3</v>
      </c>
    </row>
    <row r="34" spans="1:11" ht="16" x14ac:dyDescent="0.2">
      <c r="A34" s="1" t="str">
        <f t="shared" si="0"/>
        <v>20240827_ID_GA_Por_06_Top_37_420</v>
      </c>
      <c r="B34" s="1">
        <v>20240827</v>
      </c>
      <c r="C34" s="1" t="s">
        <v>10</v>
      </c>
      <c r="D34" s="1" t="s">
        <v>11</v>
      </c>
      <c r="E34" s="1" t="s">
        <v>12</v>
      </c>
      <c r="F34" s="1" t="s">
        <v>13</v>
      </c>
      <c r="G34" s="4" t="str">
        <f t="shared" ref="G34:G35" si="17">"06"</f>
        <v>06</v>
      </c>
      <c r="H34" s="1">
        <v>37</v>
      </c>
      <c r="I34" s="1">
        <v>420</v>
      </c>
      <c r="J34" s="2">
        <v>0.38900000000000001</v>
      </c>
      <c r="K34" s="1">
        <v>4.5999999999999996</v>
      </c>
    </row>
    <row r="35" spans="1:11" ht="16" x14ac:dyDescent="0.2">
      <c r="A35" s="1" t="str">
        <f t="shared" si="0"/>
        <v>20240827_ID_GA_Por_06_Bottom_37_420</v>
      </c>
      <c r="B35" s="1">
        <v>20240827</v>
      </c>
      <c r="C35" s="1" t="s">
        <v>10</v>
      </c>
      <c r="D35" s="1" t="s">
        <v>11</v>
      </c>
      <c r="E35" s="1" t="s">
        <v>14</v>
      </c>
      <c r="F35" s="1" t="s">
        <v>13</v>
      </c>
      <c r="G35" s="4" t="str">
        <f t="shared" si="17"/>
        <v>06</v>
      </c>
      <c r="H35" s="1">
        <v>37</v>
      </c>
      <c r="I35" s="1">
        <v>420</v>
      </c>
      <c r="J35" s="2">
        <v>0.32700000000000001</v>
      </c>
      <c r="K35" s="1">
        <v>6.2</v>
      </c>
    </row>
    <row r="36" spans="1:11" ht="16" x14ac:dyDescent="0.2">
      <c r="A36" s="1" t="str">
        <f t="shared" si="0"/>
        <v>20240827_ID_GA_Por_07_Top_37_420</v>
      </c>
      <c r="B36" s="1">
        <v>20240827</v>
      </c>
      <c r="C36" s="1" t="s">
        <v>10</v>
      </c>
      <c r="D36" s="1" t="s">
        <v>11</v>
      </c>
      <c r="E36" s="1" t="s">
        <v>12</v>
      </c>
      <c r="F36" s="1" t="s">
        <v>13</v>
      </c>
      <c r="G36" s="4" t="str">
        <f t="shared" ref="G36:G37" si="18">"07"</f>
        <v>07</v>
      </c>
      <c r="H36" s="1">
        <v>37</v>
      </c>
      <c r="I36" s="1">
        <v>420</v>
      </c>
      <c r="J36" s="2">
        <v>0.55800000000000005</v>
      </c>
      <c r="K36" s="1">
        <v>3.2</v>
      </c>
    </row>
    <row r="37" spans="1:11" ht="16" x14ac:dyDescent="0.2">
      <c r="A37" s="1" t="str">
        <f t="shared" si="0"/>
        <v>20240827_ID_GA_Por_07_Bottom_37_420</v>
      </c>
      <c r="B37" s="1">
        <v>20240827</v>
      </c>
      <c r="C37" s="1" t="s">
        <v>10</v>
      </c>
      <c r="D37" s="1" t="s">
        <v>11</v>
      </c>
      <c r="E37" s="1" t="s">
        <v>14</v>
      </c>
      <c r="F37" s="1" t="s">
        <v>13</v>
      </c>
      <c r="G37" s="4" t="str">
        <f t="shared" si="18"/>
        <v>07</v>
      </c>
      <c r="H37" s="1">
        <v>37</v>
      </c>
      <c r="I37" s="1">
        <v>420</v>
      </c>
      <c r="J37" s="2">
        <v>0.48399999999999999</v>
      </c>
      <c r="K37" s="1">
        <v>4.7</v>
      </c>
    </row>
    <row r="38" spans="1:11" ht="16" x14ac:dyDescent="0.2">
      <c r="A38" s="1" t="str">
        <f t="shared" si="0"/>
        <v>20240827_ID_GA_Por_01_Top_40_420</v>
      </c>
      <c r="B38" s="1">
        <v>20240827</v>
      </c>
      <c r="C38" s="1" t="s">
        <v>10</v>
      </c>
      <c r="D38" s="1" t="s">
        <v>11</v>
      </c>
      <c r="E38" s="1" t="s">
        <v>12</v>
      </c>
      <c r="F38" s="1" t="s">
        <v>13</v>
      </c>
      <c r="G38" s="4" t="str">
        <f t="shared" ref="G38:G39" si="19">"01"</f>
        <v>01</v>
      </c>
      <c r="H38" s="1">
        <v>40</v>
      </c>
      <c r="I38" s="1">
        <v>420</v>
      </c>
      <c r="J38" s="2">
        <v>1E-3</v>
      </c>
      <c r="K38" s="1">
        <v>1</v>
      </c>
    </row>
    <row r="39" spans="1:11" ht="16" x14ac:dyDescent="0.2">
      <c r="A39" s="1" t="str">
        <f t="shared" si="0"/>
        <v>20240827_ID_GA_Por_01_Bottom_40_420</v>
      </c>
      <c r="B39" s="1">
        <v>20240827</v>
      </c>
      <c r="C39" s="1" t="s">
        <v>10</v>
      </c>
      <c r="D39" s="1" t="s">
        <v>11</v>
      </c>
      <c r="E39" s="1" t="s">
        <v>14</v>
      </c>
      <c r="F39" s="1" t="s">
        <v>13</v>
      </c>
      <c r="G39" s="4" t="str">
        <f t="shared" si="19"/>
        <v>01</v>
      </c>
      <c r="H39" s="1">
        <v>40</v>
      </c>
      <c r="I39" s="1">
        <v>420</v>
      </c>
      <c r="J39" s="2">
        <v>0</v>
      </c>
      <c r="K39" s="5">
        <v>2.5</v>
      </c>
    </row>
    <row r="40" spans="1:11" ht="16" x14ac:dyDescent="0.2">
      <c r="A40" s="1" t="str">
        <f t="shared" si="0"/>
        <v>20240827_ID_GA_Por_02_Top_40_420</v>
      </c>
      <c r="B40" s="1">
        <v>20240827</v>
      </c>
      <c r="C40" s="1" t="s">
        <v>10</v>
      </c>
      <c r="D40" s="1" t="s">
        <v>11</v>
      </c>
      <c r="E40" s="1" t="s">
        <v>12</v>
      </c>
      <c r="F40" s="1" t="s">
        <v>13</v>
      </c>
      <c r="G40" s="4" t="str">
        <f t="shared" ref="G40:G41" si="20">"02"</f>
        <v>02</v>
      </c>
      <c r="H40" s="1">
        <v>40</v>
      </c>
      <c r="I40" s="1">
        <v>420</v>
      </c>
      <c r="J40" s="2">
        <v>4.0000000000000001E-3</v>
      </c>
      <c r="K40" s="1">
        <v>2.4</v>
      </c>
    </row>
    <row r="41" spans="1:11" ht="16" x14ac:dyDescent="0.2">
      <c r="A41" s="1" t="str">
        <f t="shared" si="0"/>
        <v>20240827_ID_GA_Por_02_Bottom_40_420</v>
      </c>
      <c r="B41" s="1">
        <v>20240827</v>
      </c>
      <c r="C41" s="1" t="s">
        <v>10</v>
      </c>
      <c r="D41" s="1" t="s">
        <v>11</v>
      </c>
      <c r="E41" s="1" t="s">
        <v>14</v>
      </c>
      <c r="F41" s="1" t="s">
        <v>13</v>
      </c>
      <c r="G41" s="4" t="str">
        <f t="shared" si="20"/>
        <v>02</v>
      </c>
      <c r="H41" s="1">
        <v>40</v>
      </c>
      <c r="I41" s="1">
        <v>420</v>
      </c>
      <c r="J41" s="2">
        <v>8.0000000000000002E-3</v>
      </c>
      <c r="K41" s="1">
        <v>3.7</v>
      </c>
    </row>
    <row r="42" spans="1:11" ht="16" x14ac:dyDescent="0.2">
      <c r="A42" s="1" t="str">
        <f t="shared" si="0"/>
        <v>20240827_ID_GA_Por_03_Top_40_420</v>
      </c>
      <c r="B42" s="1">
        <v>20240827</v>
      </c>
      <c r="C42" s="1" t="s">
        <v>10</v>
      </c>
      <c r="D42" s="1" t="s">
        <v>11</v>
      </c>
      <c r="E42" s="1" t="s">
        <v>12</v>
      </c>
      <c r="F42" s="1" t="s">
        <v>13</v>
      </c>
      <c r="G42" s="4" t="str">
        <f t="shared" ref="G42:G43" si="21">"03"</f>
        <v>03</v>
      </c>
      <c r="H42" s="1">
        <v>40</v>
      </c>
      <c r="I42" s="1">
        <v>420</v>
      </c>
      <c r="J42" s="2">
        <v>1.0999999999999999E-2</v>
      </c>
      <c r="K42" s="1">
        <v>2.5</v>
      </c>
    </row>
    <row r="43" spans="1:11" ht="16" x14ac:dyDescent="0.2">
      <c r="A43" s="1" t="str">
        <f t="shared" si="0"/>
        <v>20240827_ID_GA_Por_03_Bottom_40_420</v>
      </c>
      <c r="B43" s="1">
        <v>20240827</v>
      </c>
      <c r="C43" s="1" t="s">
        <v>10</v>
      </c>
      <c r="D43" s="1" t="s">
        <v>11</v>
      </c>
      <c r="E43" s="1" t="s">
        <v>14</v>
      </c>
      <c r="F43" s="1" t="s">
        <v>13</v>
      </c>
      <c r="G43" s="4" t="str">
        <f t="shared" si="21"/>
        <v>03</v>
      </c>
      <c r="H43" s="1">
        <v>40</v>
      </c>
      <c r="I43" s="1">
        <v>420</v>
      </c>
      <c r="J43" s="2">
        <v>0</v>
      </c>
      <c r="K43" s="1">
        <v>4</v>
      </c>
    </row>
    <row r="44" spans="1:11" ht="16" x14ac:dyDescent="0.2">
      <c r="A44" s="1" t="str">
        <f t="shared" si="0"/>
        <v>20240827_ID_GA_Por_04_Top_40_420</v>
      </c>
      <c r="B44" s="1">
        <v>20240827</v>
      </c>
      <c r="C44" s="1" t="s">
        <v>10</v>
      </c>
      <c r="D44" s="1" t="s">
        <v>11</v>
      </c>
      <c r="E44" s="1" t="s">
        <v>12</v>
      </c>
      <c r="F44" s="1" t="s">
        <v>13</v>
      </c>
      <c r="G44" s="4" t="str">
        <f t="shared" ref="G44:G45" si="22">"04"</f>
        <v>04</v>
      </c>
      <c r="H44" s="1">
        <v>40</v>
      </c>
      <c r="I44" s="1">
        <v>420</v>
      </c>
      <c r="J44" s="2">
        <v>0</v>
      </c>
      <c r="K44" s="1">
        <v>3.6</v>
      </c>
    </row>
    <row r="45" spans="1:11" ht="16" x14ac:dyDescent="0.2">
      <c r="A45" s="1" t="str">
        <f t="shared" si="0"/>
        <v>20240827_ID_GA_Por_04_Bottom_40_420</v>
      </c>
      <c r="B45" s="1">
        <v>20240827</v>
      </c>
      <c r="C45" s="1" t="s">
        <v>10</v>
      </c>
      <c r="D45" s="1" t="s">
        <v>11</v>
      </c>
      <c r="E45" s="1" t="s">
        <v>14</v>
      </c>
      <c r="F45" s="1" t="s">
        <v>13</v>
      </c>
      <c r="G45" s="4" t="str">
        <f t="shared" si="22"/>
        <v>04</v>
      </c>
      <c r="H45" s="1">
        <v>40</v>
      </c>
      <c r="I45" s="1">
        <v>420</v>
      </c>
      <c r="J45" s="2">
        <v>2.8000000000000001E-2</v>
      </c>
      <c r="K45" s="1">
        <v>4.3</v>
      </c>
    </row>
    <row r="46" spans="1:11" ht="16" x14ac:dyDescent="0.2">
      <c r="A46" s="1" t="str">
        <f t="shared" si="0"/>
        <v>20240827_ID_GA_Por_06_Top_40_420</v>
      </c>
      <c r="B46" s="1">
        <v>20240827</v>
      </c>
      <c r="C46" s="1" t="s">
        <v>10</v>
      </c>
      <c r="D46" s="1" t="s">
        <v>11</v>
      </c>
      <c r="E46" s="1" t="s">
        <v>12</v>
      </c>
      <c r="F46" s="1" t="s">
        <v>13</v>
      </c>
      <c r="G46" s="4" t="str">
        <f t="shared" ref="G46:G47" si="23">"06"</f>
        <v>06</v>
      </c>
      <c r="H46" s="1">
        <v>40</v>
      </c>
      <c r="I46" s="1">
        <v>420</v>
      </c>
      <c r="J46" s="2">
        <v>1.0999999999999999E-2</v>
      </c>
      <c r="K46" s="1">
        <v>4.5999999999999996</v>
      </c>
    </row>
    <row r="47" spans="1:11" ht="16" x14ac:dyDescent="0.2">
      <c r="A47" s="1" t="str">
        <f t="shared" si="0"/>
        <v>20240827_ID_GA_Por_06_Bottom_40_420</v>
      </c>
      <c r="B47" s="1">
        <v>20240827</v>
      </c>
      <c r="C47" s="1" t="s">
        <v>10</v>
      </c>
      <c r="D47" s="1" t="s">
        <v>11</v>
      </c>
      <c r="E47" s="1" t="s">
        <v>14</v>
      </c>
      <c r="F47" s="1" t="s">
        <v>13</v>
      </c>
      <c r="G47" s="4" t="str">
        <f t="shared" si="23"/>
        <v>06</v>
      </c>
      <c r="H47" s="1">
        <v>40</v>
      </c>
      <c r="I47" s="1">
        <v>420</v>
      </c>
      <c r="J47" s="2">
        <v>8.9999999999999993E-3</v>
      </c>
      <c r="K47" s="1">
        <v>6.2</v>
      </c>
    </row>
    <row r="48" spans="1:11" ht="16" x14ac:dyDescent="0.2">
      <c r="A48" s="1" t="str">
        <f t="shared" si="0"/>
        <v>20240827_ID_GA_Por_07_Top_40_420</v>
      </c>
      <c r="B48" s="1">
        <v>20240827</v>
      </c>
      <c r="C48" s="1" t="s">
        <v>10</v>
      </c>
      <c r="D48" s="1" t="s">
        <v>11</v>
      </c>
      <c r="E48" s="1" t="s">
        <v>12</v>
      </c>
      <c r="F48" s="1" t="s">
        <v>13</v>
      </c>
      <c r="G48" s="4" t="str">
        <f t="shared" ref="G48:G49" si="24">"07"</f>
        <v>07</v>
      </c>
      <c r="H48" s="1">
        <v>40</v>
      </c>
      <c r="I48" s="1">
        <v>420</v>
      </c>
      <c r="J48" s="2">
        <v>0</v>
      </c>
      <c r="K48" s="1">
        <v>3.2</v>
      </c>
    </row>
    <row r="49" spans="1:11" ht="16" x14ac:dyDescent="0.2">
      <c r="A49" s="1" t="str">
        <f t="shared" si="0"/>
        <v>20240827_ID_GA_Por_07_Bottom_40_420</v>
      </c>
      <c r="B49" s="1">
        <v>20240827</v>
      </c>
      <c r="C49" s="1" t="s">
        <v>10</v>
      </c>
      <c r="D49" s="1" t="s">
        <v>11</v>
      </c>
      <c r="E49" s="1" t="s">
        <v>14</v>
      </c>
      <c r="F49" s="1" t="s">
        <v>13</v>
      </c>
      <c r="G49" s="4" t="str">
        <f t="shared" si="24"/>
        <v>07</v>
      </c>
      <c r="H49" s="1">
        <v>40</v>
      </c>
      <c r="I49" s="1">
        <v>420</v>
      </c>
      <c r="J49" s="2">
        <v>0</v>
      </c>
      <c r="K49" s="1">
        <v>4.7</v>
      </c>
    </row>
    <row r="50" spans="1:11" ht="16" x14ac:dyDescent="0.2">
      <c r="J50" s="3"/>
      <c r="K50" s="5"/>
    </row>
    <row r="51" spans="1:11" ht="16" x14ac:dyDescent="0.2">
      <c r="J51" s="3"/>
      <c r="K51" s="5"/>
    </row>
    <row r="52" spans="1:11" ht="16" x14ac:dyDescent="0.2">
      <c r="J52" s="3"/>
      <c r="K52" s="5"/>
    </row>
    <row r="53" spans="1:11" ht="16" x14ac:dyDescent="0.2">
      <c r="J53" s="3"/>
      <c r="K53" s="5"/>
    </row>
    <row r="54" spans="1:11" ht="16" x14ac:dyDescent="0.2">
      <c r="J54" s="3"/>
      <c r="K54" s="5"/>
    </row>
    <row r="55" spans="1:11" ht="16" x14ac:dyDescent="0.2">
      <c r="J55" s="3"/>
      <c r="K55" s="5"/>
    </row>
    <row r="56" spans="1:11" ht="16" x14ac:dyDescent="0.2">
      <c r="J56" s="3"/>
      <c r="K56" s="5"/>
    </row>
    <row r="57" spans="1:11" ht="16" x14ac:dyDescent="0.2">
      <c r="J57" s="3"/>
      <c r="K57" s="5"/>
    </row>
    <row r="58" spans="1:11" ht="16" x14ac:dyDescent="0.2">
      <c r="J58" s="3"/>
      <c r="K58" s="5"/>
    </row>
    <row r="59" spans="1:11" ht="16" x14ac:dyDescent="0.2">
      <c r="J59" s="3"/>
      <c r="K59" s="5"/>
    </row>
    <row r="60" spans="1:11" ht="16" x14ac:dyDescent="0.2">
      <c r="J60" s="3"/>
      <c r="K60" s="5"/>
    </row>
    <row r="61" spans="1:11" ht="16" x14ac:dyDescent="0.2">
      <c r="J61" s="3"/>
      <c r="K61" s="5"/>
    </row>
    <row r="62" spans="1:11" ht="16" x14ac:dyDescent="0.2">
      <c r="J62" s="3"/>
      <c r="K62" s="5"/>
    </row>
    <row r="63" spans="1:11" ht="16" x14ac:dyDescent="0.2">
      <c r="J63" s="3"/>
      <c r="K63" s="5"/>
    </row>
    <row r="64" spans="1:11" ht="16" x14ac:dyDescent="0.2">
      <c r="J64" s="3"/>
      <c r="K64" s="5"/>
    </row>
    <row r="65" spans="10:11" ht="16" x14ac:dyDescent="0.2">
      <c r="J65" s="3"/>
      <c r="K65" s="5"/>
    </row>
    <row r="66" spans="10:11" ht="16" x14ac:dyDescent="0.2">
      <c r="J66" s="3"/>
      <c r="K66" s="5"/>
    </row>
    <row r="67" spans="10:11" ht="16" x14ac:dyDescent="0.2">
      <c r="J67" s="3"/>
      <c r="K67" s="5"/>
    </row>
    <row r="68" spans="10:11" ht="16" x14ac:dyDescent="0.2">
      <c r="J68" s="3"/>
      <c r="K68" s="5"/>
    </row>
    <row r="69" spans="10:11" ht="16" x14ac:dyDescent="0.2">
      <c r="J69" s="3"/>
      <c r="K69" s="5"/>
    </row>
    <row r="70" spans="10:11" ht="16" x14ac:dyDescent="0.2">
      <c r="J70" s="3"/>
      <c r="K70" s="5"/>
    </row>
    <row r="71" spans="10:11" ht="16" x14ac:dyDescent="0.2">
      <c r="J71" s="3"/>
      <c r="K71" s="5"/>
    </row>
    <row r="72" spans="10:11" ht="16" x14ac:dyDescent="0.2">
      <c r="J72" s="3"/>
      <c r="K72" s="5"/>
    </row>
    <row r="73" spans="10:11" ht="16" x14ac:dyDescent="0.2">
      <c r="J73" s="3"/>
      <c r="K73" s="5"/>
    </row>
    <row r="74" spans="10:11" ht="16" x14ac:dyDescent="0.2">
      <c r="J74" s="3"/>
      <c r="K74" s="5"/>
    </row>
    <row r="75" spans="10:11" ht="16" x14ac:dyDescent="0.2">
      <c r="J75" s="3"/>
      <c r="K75" s="5"/>
    </row>
    <row r="76" spans="10:11" ht="16" x14ac:dyDescent="0.2">
      <c r="J76" s="3"/>
      <c r="K76" s="5"/>
    </row>
    <row r="77" spans="10:11" ht="16" x14ac:dyDescent="0.2">
      <c r="J77" s="3"/>
      <c r="K77" s="5"/>
    </row>
    <row r="78" spans="10:11" ht="16" x14ac:dyDescent="0.2">
      <c r="J78" s="3"/>
      <c r="K78" s="5"/>
    </row>
    <row r="79" spans="10:11" ht="16" x14ac:dyDescent="0.2">
      <c r="J79" s="3"/>
      <c r="K79" s="5"/>
    </row>
    <row r="80" spans="10:11" ht="16" x14ac:dyDescent="0.2">
      <c r="J80" s="3"/>
      <c r="K80" s="5"/>
    </row>
    <row r="81" spans="10:11" ht="16" x14ac:dyDescent="0.2">
      <c r="J81" s="3"/>
      <c r="K81" s="5"/>
    </row>
    <row r="82" spans="10:11" ht="16" x14ac:dyDescent="0.2">
      <c r="J82" s="3"/>
      <c r="K82" s="5"/>
    </row>
    <row r="83" spans="10:11" ht="16" x14ac:dyDescent="0.2">
      <c r="J83" s="3"/>
      <c r="K83" s="5"/>
    </row>
    <row r="84" spans="10:11" ht="16" x14ac:dyDescent="0.2">
      <c r="J84" s="3"/>
      <c r="K84" s="5"/>
    </row>
    <row r="85" spans="10:11" ht="16" x14ac:dyDescent="0.2">
      <c r="J85" s="3"/>
      <c r="K85" s="5"/>
    </row>
    <row r="86" spans="10:11" ht="16" x14ac:dyDescent="0.2">
      <c r="J86" s="3"/>
      <c r="K86" s="5"/>
    </row>
    <row r="87" spans="10:11" ht="16" x14ac:dyDescent="0.2">
      <c r="J87" s="3"/>
      <c r="K87" s="5"/>
    </row>
    <row r="88" spans="10:11" ht="16" x14ac:dyDescent="0.2">
      <c r="J88" s="3"/>
      <c r="K88" s="5"/>
    </row>
    <row r="89" spans="10:11" ht="16" x14ac:dyDescent="0.2">
      <c r="J89" s="3"/>
      <c r="K89" s="5"/>
    </row>
    <row r="90" spans="10:11" ht="16" x14ac:dyDescent="0.2">
      <c r="J90" s="3"/>
      <c r="K90" s="5"/>
    </row>
    <row r="91" spans="10:11" ht="16" x14ac:dyDescent="0.2">
      <c r="J91" s="3"/>
      <c r="K91" s="5"/>
    </row>
    <row r="92" spans="10:11" ht="16" x14ac:dyDescent="0.2">
      <c r="J92" s="3"/>
      <c r="K92" s="5"/>
    </row>
    <row r="93" spans="10:11" ht="16" x14ac:dyDescent="0.2">
      <c r="J93" s="3"/>
      <c r="K93" s="5"/>
    </row>
    <row r="94" spans="10:11" ht="16" x14ac:dyDescent="0.2">
      <c r="J94" s="3"/>
      <c r="K94" s="5"/>
    </row>
    <row r="95" spans="10:11" ht="16" x14ac:dyDescent="0.2">
      <c r="J95" s="3"/>
      <c r="K95" s="5"/>
    </row>
    <row r="96" spans="10:11" ht="16" x14ac:dyDescent="0.2">
      <c r="J96" s="3"/>
      <c r="K96" s="5"/>
    </row>
    <row r="97" spans="10:11" ht="16" x14ac:dyDescent="0.2">
      <c r="J97" s="3"/>
      <c r="K97" s="5"/>
    </row>
    <row r="98" spans="10:11" ht="16" x14ac:dyDescent="0.2">
      <c r="J98" s="3"/>
      <c r="K98" s="5"/>
    </row>
    <row r="99" spans="10:11" ht="16" x14ac:dyDescent="0.2">
      <c r="J99" s="3"/>
      <c r="K99" s="5"/>
    </row>
    <row r="100" spans="10:11" ht="16" x14ac:dyDescent="0.2">
      <c r="J100" s="3"/>
      <c r="K100" s="5"/>
    </row>
    <row r="101" spans="10:11" ht="16" x14ac:dyDescent="0.2">
      <c r="J101" s="3"/>
      <c r="K101" s="5"/>
    </row>
    <row r="102" spans="10:11" ht="16" x14ac:dyDescent="0.2">
      <c r="J102" s="3"/>
      <c r="K102" s="5"/>
    </row>
    <row r="103" spans="10:11" ht="16" x14ac:dyDescent="0.2">
      <c r="J103" s="3"/>
      <c r="K103" s="5"/>
    </row>
    <row r="104" spans="10:11" ht="16" x14ac:dyDescent="0.2">
      <c r="J104" s="3"/>
      <c r="K104" s="5"/>
    </row>
    <row r="105" spans="10:11" ht="16" x14ac:dyDescent="0.2">
      <c r="J105" s="3"/>
      <c r="K105" s="5"/>
    </row>
    <row r="106" spans="10:11" ht="16" x14ac:dyDescent="0.2">
      <c r="J106" s="3"/>
      <c r="K106" s="5"/>
    </row>
    <row r="107" spans="10:11" ht="16" x14ac:dyDescent="0.2">
      <c r="J107" s="3"/>
      <c r="K107" s="5"/>
    </row>
    <row r="108" spans="10:11" ht="16" x14ac:dyDescent="0.2">
      <c r="J108" s="3"/>
      <c r="K108" s="5"/>
    </row>
    <row r="109" spans="10:11" ht="16" x14ac:dyDescent="0.2">
      <c r="J109" s="3"/>
      <c r="K109" s="5"/>
    </row>
    <row r="110" spans="10:11" ht="16" x14ac:dyDescent="0.2">
      <c r="J110" s="3"/>
      <c r="K110" s="5"/>
    </row>
    <row r="111" spans="10:11" ht="16" x14ac:dyDescent="0.2">
      <c r="J111" s="3"/>
      <c r="K111" s="5"/>
    </row>
    <row r="112" spans="10:11" ht="16" x14ac:dyDescent="0.2">
      <c r="J112" s="3"/>
      <c r="K112" s="5"/>
    </row>
    <row r="113" spans="10:11" ht="16" x14ac:dyDescent="0.2">
      <c r="J113" s="3"/>
      <c r="K113" s="5"/>
    </row>
    <row r="114" spans="10:11" ht="16" x14ac:dyDescent="0.2">
      <c r="J114" s="3"/>
      <c r="K114" s="5"/>
    </row>
    <row r="115" spans="10:11" ht="16" x14ac:dyDescent="0.2">
      <c r="J115" s="3"/>
      <c r="K115" s="5"/>
    </row>
    <row r="116" spans="10:11" ht="16" x14ac:dyDescent="0.2">
      <c r="J116" s="3"/>
      <c r="K116" s="5"/>
    </row>
    <row r="117" spans="10:11" ht="16" x14ac:dyDescent="0.2">
      <c r="J117" s="3"/>
      <c r="K117" s="5"/>
    </row>
    <row r="118" spans="10:11" ht="16" x14ac:dyDescent="0.2">
      <c r="J118" s="3"/>
      <c r="K118" s="5"/>
    </row>
    <row r="119" spans="10:11" ht="16" x14ac:dyDescent="0.2">
      <c r="J119" s="3"/>
      <c r="K119" s="5"/>
    </row>
    <row r="120" spans="10:11" ht="16" x14ac:dyDescent="0.2">
      <c r="J120" s="3"/>
      <c r="K120" s="5"/>
    </row>
    <row r="121" spans="10:11" ht="16" x14ac:dyDescent="0.2">
      <c r="J121" s="3"/>
      <c r="K121" s="5"/>
    </row>
    <row r="122" spans="10:11" ht="16" x14ac:dyDescent="0.2">
      <c r="J122" s="3"/>
      <c r="K122" s="5"/>
    </row>
    <row r="123" spans="10:11" ht="16" x14ac:dyDescent="0.2">
      <c r="J123" s="3"/>
      <c r="K123" s="5"/>
    </row>
    <row r="124" spans="10:11" ht="16" x14ac:dyDescent="0.2">
      <c r="J124" s="3"/>
      <c r="K124" s="5"/>
    </row>
    <row r="125" spans="10:11" ht="16" x14ac:dyDescent="0.2">
      <c r="J125" s="3"/>
      <c r="K125" s="5"/>
    </row>
    <row r="126" spans="10:11" ht="16" x14ac:dyDescent="0.2">
      <c r="J126" s="3"/>
      <c r="K126" s="5"/>
    </row>
    <row r="127" spans="10:11" ht="16" x14ac:dyDescent="0.2">
      <c r="J127" s="3"/>
      <c r="K127" s="5"/>
    </row>
    <row r="128" spans="10:11" ht="16" x14ac:dyDescent="0.2">
      <c r="J128" s="3"/>
      <c r="K128" s="5"/>
    </row>
    <row r="129" spans="10:11" ht="16" x14ac:dyDescent="0.2">
      <c r="J129" s="3"/>
      <c r="K129" s="5"/>
    </row>
    <row r="130" spans="10:11" ht="16" x14ac:dyDescent="0.2">
      <c r="J130" s="3"/>
      <c r="K130" s="5"/>
    </row>
    <row r="131" spans="10:11" ht="16" x14ac:dyDescent="0.2">
      <c r="J131" s="3"/>
      <c r="K131" s="5"/>
    </row>
    <row r="132" spans="10:11" ht="16" x14ac:dyDescent="0.2">
      <c r="J132" s="3"/>
      <c r="K132" s="5"/>
    </row>
    <row r="133" spans="10:11" ht="16" x14ac:dyDescent="0.2">
      <c r="J133" s="3"/>
      <c r="K133" s="5"/>
    </row>
    <row r="134" spans="10:11" ht="16" x14ac:dyDescent="0.2">
      <c r="J134" s="3"/>
      <c r="K134" s="5"/>
    </row>
    <row r="135" spans="10:11" ht="16" x14ac:dyDescent="0.2">
      <c r="J135" s="3"/>
      <c r="K135" s="5"/>
    </row>
    <row r="136" spans="10:11" ht="16" x14ac:dyDescent="0.2">
      <c r="J136" s="3"/>
      <c r="K136" s="5"/>
    </row>
    <row r="137" spans="10:11" ht="16" x14ac:dyDescent="0.2">
      <c r="J137" s="3"/>
      <c r="K137" s="5"/>
    </row>
    <row r="138" spans="10:11" ht="16" x14ac:dyDescent="0.2">
      <c r="J138" s="3"/>
      <c r="K138" s="5"/>
    </row>
    <row r="139" spans="10:11" ht="16" x14ac:dyDescent="0.2">
      <c r="J139" s="3"/>
      <c r="K139" s="5"/>
    </row>
    <row r="140" spans="10:11" ht="16" x14ac:dyDescent="0.2">
      <c r="J140" s="3"/>
      <c r="K140" s="5"/>
    </row>
    <row r="141" spans="10:11" ht="16" x14ac:dyDescent="0.2">
      <c r="J141" s="3"/>
      <c r="K141" s="5"/>
    </row>
    <row r="142" spans="10:11" ht="16" x14ac:dyDescent="0.2">
      <c r="J142" s="3"/>
      <c r="K142" s="5"/>
    </row>
    <row r="143" spans="10:11" ht="16" x14ac:dyDescent="0.2">
      <c r="J143" s="3"/>
      <c r="K143" s="5"/>
    </row>
    <row r="144" spans="10:11" ht="16" x14ac:dyDescent="0.2">
      <c r="J144" s="3"/>
      <c r="K144" s="5"/>
    </row>
    <row r="145" spans="10:11" ht="16" x14ac:dyDescent="0.2">
      <c r="J145" s="3"/>
      <c r="K145" s="5"/>
    </row>
    <row r="146" spans="10:11" ht="16" x14ac:dyDescent="0.2">
      <c r="J146" s="3"/>
      <c r="K146" s="5"/>
    </row>
    <row r="147" spans="10:11" ht="16" x14ac:dyDescent="0.2">
      <c r="J147" s="3"/>
      <c r="K147" s="5"/>
    </row>
    <row r="148" spans="10:11" ht="16" x14ac:dyDescent="0.2">
      <c r="J148" s="3"/>
      <c r="K148" s="5"/>
    </row>
    <row r="149" spans="10:11" ht="16" x14ac:dyDescent="0.2">
      <c r="J149" s="3"/>
      <c r="K149" s="5"/>
    </row>
    <row r="150" spans="10:11" ht="16" x14ac:dyDescent="0.2">
      <c r="J150" s="3"/>
      <c r="K150" s="5"/>
    </row>
    <row r="151" spans="10:11" ht="16" x14ac:dyDescent="0.2">
      <c r="J151" s="3"/>
      <c r="K151" s="5"/>
    </row>
    <row r="152" spans="10:11" ht="16" x14ac:dyDescent="0.2">
      <c r="J152" s="3"/>
      <c r="K152" s="5"/>
    </row>
    <row r="153" spans="10:11" ht="16" x14ac:dyDescent="0.2">
      <c r="J153" s="3"/>
      <c r="K153" s="5"/>
    </row>
    <row r="154" spans="10:11" ht="16" x14ac:dyDescent="0.2">
      <c r="J154" s="3"/>
      <c r="K154" s="5"/>
    </row>
    <row r="155" spans="10:11" ht="16" x14ac:dyDescent="0.2">
      <c r="J155" s="3"/>
      <c r="K155" s="5"/>
    </row>
    <row r="156" spans="10:11" ht="16" x14ac:dyDescent="0.2">
      <c r="J156" s="3"/>
      <c r="K156" s="5"/>
    </row>
    <row r="157" spans="10:11" ht="16" x14ac:dyDescent="0.2">
      <c r="J157" s="3"/>
      <c r="K157" s="5"/>
    </row>
    <row r="158" spans="10:11" ht="16" x14ac:dyDescent="0.2">
      <c r="J158" s="3"/>
      <c r="K158" s="5"/>
    </row>
    <row r="159" spans="10:11" ht="16" x14ac:dyDescent="0.2">
      <c r="J159" s="3"/>
      <c r="K159" s="5"/>
    </row>
    <row r="160" spans="10:11" ht="16" x14ac:dyDescent="0.2">
      <c r="J160" s="3"/>
      <c r="K160" s="5"/>
    </row>
    <row r="161" spans="10:11" ht="16" x14ac:dyDescent="0.2">
      <c r="J161" s="3"/>
      <c r="K161" s="5"/>
    </row>
    <row r="162" spans="10:11" ht="16" x14ac:dyDescent="0.2">
      <c r="J162" s="3"/>
      <c r="K162" s="5"/>
    </row>
    <row r="163" spans="10:11" ht="16" x14ac:dyDescent="0.2">
      <c r="J163" s="3"/>
      <c r="K163" s="5"/>
    </row>
    <row r="164" spans="10:11" ht="16" x14ac:dyDescent="0.2">
      <c r="J164" s="3"/>
      <c r="K164" s="5"/>
    </row>
    <row r="165" spans="10:11" ht="16" x14ac:dyDescent="0.2">
      <c r="J165" s="3"/>
      <c r="K165" s="5"/>
    </row>
    <row r="166" spans="10:11" ht="16" x14ac:dyDescent="0.2">
      <c r="J166" s="3"/>
      <c r="K166" s="5"/>
    </row>
    <row r="167" spans="10:11" ht="16" x14ac:dyDescent="0.2">
      <c r="J167" s="3"/>
      <c r="K167" s="5"/>
    </row>
    <row r="168" spans="10:11" ht="16" x14ac:dyDescent="0.2">
      <c r="J168" s="3"/>
      <c r="K168" s="5"/>
    </row>
    <row r="169" spans="10:11" ht="16" x14ac:dyDescent="0.2">
      <c r="J169" s="3"/>
      <c r="K169" s="5"/>
    </row>
    <row r="170" spans="10:11" ht="16" x14ac:dyDescent="0.2">
      <c r="J170" s="3"/>
      <c r="K170" s="5"/>
    </row>
    <row r="171" spans="10:11" ht="16" x14ac:dyDescent="0.2">
      <c r="J171" s="3"/>
      <c r="K171" s="5"/>
    </row>
    <row r="172" spans="10:11" ht="16" x14ac:dyDescent="0.2">
      <c r="J172" s="3"/>
      <c r="K172" s="5"/>
    </row>
    <row r="173" spans="10:11" ht="16" x14ac:dyDescent="0.2">
      <c r="J173" s="3"/>
      <c r="K173" s="5"/>
    </row>
    <row r="174" spans="10:11" ht="16" x14ac:dyDescent="0.2">
      <c r="J174" s="3"/>
      <c r="K174" s="5"/>
    </row>
    <row r="175" spans="10:11" ht="16" x14ac:dyDescent="0.2">
      <c r="J175" s="3"/>
      <c r="K175" s="5"/>
    </row>
    <row r="176" spans="10:11" ht="16" x14ac:dyDescent="0.2">
      <c r="J176" s="3"/>
      <c r="K176" s="5"/>
    </row>
    <row r="177" spans="10:11" ht="16" x14ac:dyDescent="0.2">
      <c r="J177" s="3"/>
      <c r="K177" s="5"/>
    </row>
    <row r="178" spans="10:11" ht="16" x14ac:dyDescent="0.2">
      <c r="J178" s="3"/>
      <c r="K178" s="5"/>
    </row>
    <row r="179" spans="10:11" ht="16" x14ac:dyDescent="0.2">
      <c r="J179" s="3"/>
      <c r="K179" s="5"/>
    </row>
    <row r="180" spans="10:11" ht="16" x14ac:dyDescent="0.2">
      <c r="J180" s="3"/>
      <c r="K180" s="5"/>
    </row>
    <row r="181" spans="10:11" ht="16" x14ac:dyDescent="0.2">
      <c r="J181" s="3"/>
      <c r="K181" s="5"/>
    </row>
    <row r="182" spans="10:11" ht="16" x14ac:dyDescent="0.2">
      <c r="J182" s="3"/>
      <c r="K182" s="5"/>
    </row>
    <row r="183" spans="10:11" ht="16" x14ac:dyDescent="0.2">
      <c r="J183" s="3"/>
      <c r="K183" s="5"/>
    </row>
    <row r="184" spans="10:11" ht="16" x14ac:dyDescent="0.2">
      <c r="J184" s="3"/>
      <c r="K184" s="5"/>
    </row>
    <row r="185" spans="10:11" ht="16" x14ac:dyDescent="0.2">
      <c r="J185" s="3"/>
      <c r="K185" s="5"/>
    </row>
    <row r="186" spans="10:11" ht="16" x14ac:dyDescent="0.2">
      <c r="J186" s="3"/>
      <c r="K186" s="5"/>
    </row>
    <row r="187" spans="10:11" ht="16" x14ac:dyDescent="0.2">
      <c r="J187" s="3"/>
      <c r="K187" s="5"/>
    </row>
    <row r="188" spans="10:11" ht="16" x14ac:dyDescent="0.2">
      <c r="J188" s="3"/>
      <c r="K188" s="5"/>
    </row>
    <row r="189" spans="10:11" ht="16" x14ac:dyDescent="0.2">
      <c r="J189" s="3"/>
      <c r="K189" s="5"/>
    </row>
    <row r="190" spans="10:11" ht="16" x14ac:dyDescent="0.2">
      <c r="J190" s="3"/>
      <c r="K190" s="5"/>
    </row>
    <row r="191" spans="10:11" ht="16" x14ac:dyDescent="0.2">
      <c r="J191" s="3"/>
      <c r="K191" s="5"/>
    </row>
    <row r="192" spans="10:11" ht="16" x14ac:dyDescent="0.2">
      <c r="J192" s="3"/>
      <c r="K192" s="5"/>
    </row>
    <row r="193" spans="10:11" ht="16" x14ac:dyDescent="0.2">
      <c r="J193" s="3"/>
      <c r="K193" s="5"/>
    </row>
    <row r="194" spans="10:11" ht="16" x14ac:dyDescent="0.2">
      <c r="J194" s="3"/>
      <c r="K194" s="5"/>
    </row>
    <row r="195" spans="10:11" ht="16" x14ac:dyDescent="0.2">
      <c r="J195" s="3"/>
      <c r="K195" s="5"/>
    </row>
    <row r="196" spans="10:11" ht="16" x14ac:dyDescent="0.2">
      <c r="J196" s="3"/>
      <c r="K196" s="5"/>
    </row>
    <row r="197" spans="10:11" ht="16" x14ac:dyDescent="0.2">
      <c r="J197" s="3"/>
      <c r="K197" s="5"/>
    </row>
    <row r="198" spans="10:11" ht="16" x14ac:dyDescent="0.2">
      <c r="J198" s="3"/>
      <c r="K198" s="5"/>
    </row>
    <row r="199" spans="10:11" ht="16" x14ac:dyDescent="0.2">
      <c r="J199" s="3"/>
      <c r="K199" s="5"/>
    </row>
    <row r="200" spans="10:11" ht="16" x14ac:dyDescent="0.2">
      <c r="J200" s="3"/>
      <c r="K200" s="5"/>
    </row>
    <row r="201" spans="10:11" ht="16" x14ac:dyDescent="0.2">
      <c r="J201" s="3"/>
      <c r="K201" s="5"/>
    </row>
    <row r="202" spans="10:11" ht="16" x14ac:dyDescent="0.2">
      <c r="J202" s="3"/>
      <c r="K202" s="5"/>
    </row>
    <row r="203" spans="10:11" ht="16" x14ac:dyDescent="0.2">
      <c r="J203" s="3"/>
      <c r="K203" s="5"/>
    </row>
    <row r="204" spans="10:11" ht="16" x14ac:dyDescent="0.2">
      <c r="J204" s="3"/>
      <c r="K204" s="5"/>
    </row>
    <row r="205" spans="10:11" ht="16" x14ac:dyDescent="0.2">
      <c r="J205" s="3"/>
      <c r="K205" s="5"/>
    </row>
    <row r="206" spans="10:11" ht="16" x14ac:dyDescent="0.2">
      <c r="J206" s="3"/>
      <c r="K206" s="5"/>
    </row>
    <row r="207" spans="10:11" ht="16" x14ac:dyDescent="0.2">
      <c r="J207" s="3"/>
      <c r="K207" s="5"/>
    </row>
    <row r="208" spans="10:11" ht="16" x14ac:dyDescent="0.2">
      <c r="J208" s="3"/>
      <c r="K208" s="5"/>
    </row>
    <row r="209" spans="10:11" ht="16" x14ac:dyDescent="0.2">
      <c r="J209" s="3"/>
      <c r="K209" s="5"/>
    </row>
    <row r="210" spans="10:11" ht="16" x14ac:dyDescent="0.2">
      <c r="J210" s="3"/>
      <c r="K210" s="5"/>
    </row>
    <row r="211" spans="10:11" ht="16" x14ac:dyDescent="0.2">
      <c r="J211" s="3"/>
      <c r="K211" s="5"/>
    </row>
    <row r="212" spans="10:11" ht="16" x14ac:dyDescent="0.2">
      <c r="J212" s="3"/>
      <c r="K212" s="5"/>
    </row>
    <row r="213" spans="10:11" ht="16" x14ac:dyDescent="0.2">
      <c r="J213" s="3"/>
      <c r="K213" s="5"/>
    </row>
    <row r="214" spans="10:11" ht="16" x14ac:dyDescent="0.2">
      <c r="J214" s="3"/>
      <c r="K214" s="5"/>
    </row>
    <row r="215" spans="10:11" ht="16" x14ac:dyDescent="0.2">
      <c r="J215" s="3"/>
      <c r="K215" s="5"/>
    </row>
    <row r="216" spans="10:11" ht="16" x14ac:dyDescent="0.2">
      <c r="J216" s="3"/>
      <c r="K216" s="5"/>
    </row>
    <row r="217" spans="10:11" ht="16" x14ac:dyDescent="0.2">
      <c r="J217" s="3"/>
      <c r="K217" s="5"/>
    </row>
    <row r="218" spans="10:11" ht="16" x14ac:dyDescent="0.2">
      <c r="J218" s="3"/>
      <c r="K218" s="5"/>
    </row>
    <row r="219" spans="10:11" ht="16" x14ac:dyDescent="0.2">
      <c r="J219" s="3"/>
      <c r="K219" s="5"/>
    </row>
    <row r="220" spans="10:11" ht="16" x14ac:dyDescent="0.2">
      <c r="J220" s="3"/>
      <c r="K220" s="5"/>
    </row>
    <row r="221" spans="10:11" ht="16" x14ac:dyDescent="0.2">
      <c r="J221" s="3"/>
      <c r="K221" s="5"/>
    </row>
    <row r="222" spans="10:11" ht="16" x14ac:dyDescent="0.2">
      <c r="J222" s="3"/>
      <c r="K222" s="5"/>
    </row>
    <row r="223" spans="10:11" ht="16" x14ac:dyDescent="0.2">
      <c r="J223" s="3"/>
      <c r="K223" s="5"/>
    </row>
    <row r="224" spans="10:11" ht="16" x14ac:dyDescent="0.2">
      <c r="J224" s="3"/>
      <c r="K224" s="5"/>
    </row>
    <row r="225" spans="10:11" ht="16" x14ac:dyDescent="0.2">
      <c r="J225" s="3"/>
      <c r="K225" s="5"/>
    </row>
    <row r="226" spans="10:11" ht="16" x14ac:dyDescent="0.2">
      <c r="J226" s="3"/>
      <c r="K226" s="5"/>
    </row>
    <row r="227" spans="10:11" ht="16" x14ac:dyDescent="0.2">
      <c r="J227" s="3"/>
      <c r="K227" s="5"/>
    </row>
    <row r="228" spans="10:11" ht="16" x14ac:dyDescent="0.2">
      <c r="J228" s="3"/>
      <c r="K228" s="5"/>
    </row>
    <row r="229" spans="10:11" ht="16" x14ac:dyDescent="0.2">
      <c r="J229" s="3"/>
      <c r="K229" s="5"/>
    </row>
    <row r="230" spans="10:11" ht="16" x14ac:dyDescent="0.2">
      <c r="J230" s="3"/>
      <c r="K230" s="5"/>
    </row>
    <row r="231" spans="10:11" ht="16" x14ac:dyDescent="0.2">
      <c r="J231" s="3"/>
      <c r="K231" s="5"/>
    </row>
    <row r="232" spans="10:11" ht="16" x14ac:dyDescent="0.2">
      <c r="J232" s="3"/>
      <c r="K232" s="5"/>
    </row>
    <row r="233" spans="10:11" ht="16" x14ac:dyDescent="0.2">
      <c r="J233" s="3"/>
      <c r="K233" s="5"/>
    </row>
    <row r="234" spans="10:11" ht="16" x14ac:dyDescent="0.2">
      <c r="J234" s="3"/>
      <c r="K234" s="5"/>
    </row>
    <row r="235" spans="10:11" ht="16" x14ac:dyDescent="0.2">
      <c r="J235" s="3"/>
      <c r="K235" s="5"/>
    </row>
    <row r="236" spans="10:11" ht="16" x14ac:dyDescent="0.2">
      <c r="J236" s="3"/>
      <c r="K236" s="5"/>
    </row>
    <row r="237" spans="10:11" ht="16" x14ac:dyDescent="0.2">
      <c r="J237" s="3"/>
      <c r="K237" s="5"/>
    </row>
    <row r="238" spans="10:11" ht="16" x14ac:dyDescent="0.2">
      <c r="J238" s="3"/>
      <c r="K238" s="5"/>
    </row>
    <row r="239" spans="10:11" ht="16" x14ac:dyDescent="0.2">
      <c r="J239" s="3"/>
      <c r="K239" s="5"/>
    </row>
    <row r="240" spans="10:11" ht="16" x14ac:dyDescent="0.2">
      <c r="J240" s="3"/>
      <c r="K240" s="5"/>
    </row>
    <row r="241" spans="10:11" ht="16" x14ac:dyDescent="0.2">
      <c r="J241" s="3"/>
      <c r="K241" s="5"/>
    </row>
    <row r="242" spans="10:11" ht="16" x14ac:dyDescent="0.2">
      <c r="J242" s="3"/>
      <c r="K242" s="5"/>
    </row>
    <row r="243" spans="10:11" ht="16" x14ac:dyDescent="0.2">
      <c r="J243" s="3"/>
      <c r="K243" s="5"/>
    </row>
    <row r="244" spans="10:11" ht="16" x14ac:dyDescent="0.2">
      <c r="J244" s="3"/>
      <c r="K244" s="5"/>
    </row>
    <row r="245" spans="10:11" ht="16" x14ac:dyDescent="0.2">
      <c r="J245" s="3"/>
      <c r="K245" s="5"/>
    </row>
    <row r="246" spans="10:11" ht="16" x14ac:dyDescent="0.2">
      <c r="J246" s="3"/>
      <c r="K246" s="5"/>
    </row>
    <row r="247" spans="10:11" ht="16" x14ac:dyDescent="0.2">
      <c r="J247" s="3"/>
      <c r="K247" s="5"/>
    </row>
    <row r="248" spans="10:11" ht="16" x14ac:dyDescent="0.2">
      <c r="J248" s="3"/>
      <c r="K248" s="5"/>
    </row>
    <row r="249" spans="10:11" ht="16" x14ac:dyDescent="0.2">
      <c r="J249" s="3"/>
      <c r="K249" s="5"/>
    </row>
    <row r="250" spans="10:11" ht="16" x14ac:dyDescent="0.2">
      <c r="J250" s="3"/>
      <c r="K250" s="5"/>
    </row>
    <row r="251" spans="10:11" ht="16" x14ac:dyDescent="0.2">
      <c r="J251" s="3"/>
      <c r="K251" s="5"/>
    </row>
    <row r="252" spans="10:11" ht="16" x14ac:dyDescent="0.2">
      <c r="J252" s="3"/>
      <c r="K252" s="5"/>
    </row>
    <row r="253" spans="10:11" ht="16" x14ac:dyDescent="0.2">
      <c r="J253" s="3"/>
      <c r="K253" s="5"/>
    </row>
    <row r="254" spans="10:11" ht="16" x14ac:dyDescent="0.2">
      <c r="J254" s="3"/>
      <c r="K254" s="5"/>
    </row>
    <row r="255" spans="10:11" ht="16" x14ac:dyDescent="0.2">
      <c r="J255" s="3"/>
      <c r="K255" s="5"/>
    </row>
    <row r="256" spans="10:11" ht="16" x14ac:dyDescent="0.2">
      <c r="J256" s="3"/>
      <c r="K256" s="5"/>
    </row>
    <row r="257" spans="10:11" ht="16" x14ac:dyDescent="0.2">
      <c r="J257" s="3"/>
      <c r="K257" s="5"/>
    </row>
    <row r="258" spans="10:11" ht="16" x14ac:dyDescent="0.2">
      <c r="J258" s="3"/>
      <c r="K258" s="5"/>
    </row>
    <row r="259" spans="10:11" ht="16" x14ac:dyDescent="0.2">
      <c r="J259" s="3"/>
      <c r="K259" s="5"/>
    </row>
    <row r="260" spans="10:11" ht="16" x14ac:dyDescent="0.2">
      <c r="J260" s="3"/>
      <c r="K260" s="5"/>
    </row>
    <row r="261" spans="10:11" ht="16" x14ac:dyDescent="0.2">
      <c r="J261" s="3"/>
      <c r="K261" s="5"/>
    </row>
    <row r="262" spans="10:11" ht="16" x14ac:dyDescent="0.2">
      <c r="J262" s="3"/>
      <c r="K262" s="5"/>
    </row>
    <row r="263" spans="10:11" ht="16" x14ac:dyDescent="0.2">
      <c r="J263" s="3"/>
      <c r="K263" s="5"/>
    </row>
    <row r="264" spans="10:11" ht="16" x14ac:dyDescent="0.2">
      <c r="J264" s="3"/>
      <c r="K264" s="5"/>
    </row>
    <row r="265" spans="10:11" ht="16" x14ac:dyDescent="0.2">
      <c r="J265" s="3"/>
      <c r="K265" s="5"/>
    </row>
    <row r="266" spans="10:11" ht="16" x14ac:dyDescent="0.2">
      <c r="J266" s="3"/>
      <c r="K266" s="5"/>
    </row>
    <row r="267" spans="10:11" ht="16" x14ac:dyDescent="0.2">
      <c r="J267" s="3"/>
      <c r="K267" s="5"/>
    </row>
    <row r="268" spans="10:11" ht="16" x14ac:dyDescent="0.2">
      <c r="J268" s="3"/>
      <c r="K268" s="5"/>
    </row>
    <row r="269" spans="10:11" ht="16" x14ac:dyDescent="0.2">
      <c r="J269" s="3"/>
      <c r="K269" s="5"/>
    </row>
    <row r="270" spans="10:11" ht="16" x14ac:dyDescent="0.2">
      <c r="J270" s="3"/>
      <c r="K270" s="5"/>
    </row>
    <row r="271" spans="10:11" ht="16" x14ac:dyDescent="0.2">
      <c r="J271" s="3"/>
      <c r="K271" s="5"/>
    </row>
    <row r="272" spans="10:11" ht="16" x14ac:dyDescent="0.2">
      <c r="J272" s="3"/>
      <c r="K272" s="5"/>
    </row>
    <row r="273" spans="10:11" ht="16" x14ac:dyDescent="0.2">
      <c r="J273" s="3"/>
      <c r="K273" s="5"/>
    </row>
    <row r="274" spans="10:11" ht="16" x14ac:dyDescent="0.2">
      <c r="J274" s="3"/>
      <c r="K274" s="5"/>
    </row>
    <row r="275" spans="10:11" ht="16" x14ac:dyDescent="0.2">
      <c r="J275" s="3"/>
      <c r="K275" s="5"/>
    </row>
    <row r="276" spans="10:11" ht="16" x14ac:dyDescent="0.2">
      <c r="J276" s="3"/>
      <c r="K276" s="5"/>
    </row>
    <row r="277" spans="10:11" ht="16" x14ac:dyDescent="0.2">
      <c r="J277" s="3"/>
      <c r="K277" s="5"/>
    </row>
    <row r="278" spans="10:11" ht="16" x14ac:dyDescent="0.2">
      <c r="J278" s="3"/>
      <c r="K278" s="5"/>
    </row>
    <row r="279" spans="10:11" ht="16" x14ac:dyDescent="0.2">
      <c r="J279" s="3"/>
      <c r="K279" s="5"/>
    </row>
    <row r="280" spans="10:11" ht="16" x14ac:dyDescent="0.2">
      <c r="J280" s="3"/>
      <c r="K280" s="5"/>
    </row>
    <row r="281" spans="10:11" ht="16" x14ac:dyDescent="0.2">
      <c r="J281" s="3"/>
      <c r="K281" s="5"/>
    </row>
    <row r="282" spans="10:11" ht="16" x14ac:dyDescent="0.2">
      <c r="J282" s="3"/>
      <c r="K282" s="5"/>
    </row>
    <row r="283" spans="10:11" ht="16" x14ac:dyDescent="0.2">
      <c r="J283" s="3"/>
      <c r="K283" s="5"/>
    </row>
    <row r="284" spans="10:11" ht="16" x14ac:dyDescent="0.2">
      <c r="J284" s="3"/>
      <c r="K284" s="5"/>
    </row>
    <row r="285" spans="10:11" ht="16" x14ac:dyDescent="0.2">
      <c r="J285" s="3"/>
      <c r="K285" s="5"/>
    </row>
    <row r="286" spans="10:11" ht="16" x14ac:dyDescent="0.2">
      <c r="J286" s="3"/>
      <c r="K286" s="5"/>
    </row>
    <row r="287" spans="10:11" ht="16" x14ac:dyDescent="0.2">
      <c r="J287" s="3"/>
      <c r="K287" s="5"/>
    </row>
    <row r="288" spans="10:11" ht="16" x14ac:dyDescent="0.2">
      <c r="J288" s="3"/>
      <c r="K288" s="5"/>
    </row>
    <row r="289" spans="10:11" ht="16" x14ac:dyDescent="0.2">
      <c r="J289" s="3"/>
      <c r="K289" s="5"/>
    </row>
    <row r="290" spans="10:11" ht="16" x14ac:dyDescent="0.2">
      <c r="J290" s="3"/>
      <c r="K290" s="5"/>
    </row>
    <row r="291" spans="10:11" ht="16" x14ac:dyDescent="0.2">
      <c r="J291" s="3"/>
      <c r="K291" s="5"/>
    </row>
    <row r="292" spans="10:11" ht="16" x14ac:dyDescent="0.2">
      <c r="J292" s="3"/>
      <c r="K292" s="5"/>
    </row>
    <row r="293" spans="10:11" ht="16" x14ac:dyDescent="0.2">
      <c r="J293" s="3"/>
      <c r="K293" s="5"/>
    </row>
    <row r="294" spans="10:11" ht="16" x14ac:dyDescent="0.2">
      <c r="J294" s="3"/>
      <c r="K294" s="5"/>
    </row>
    <row r="295" spans="10:11" ht="16" x14ac:dyDescent="0.2">
      <c r="J295" s="3"/>
      <c r="K295" s="5"/>
    </row>
    <row r="296" spans="10:11" ht="16" x14ac:dyDescent="0.2">
      <c r="J296" s="3"/>
      <c r="K296" s="5"/>
    </row>
    <row r="297" spans="10:11" ht="16" x14ac:dyDescent="0.2">
      <c r="J297" s="3"/>
      <c r="K297" s="5"/>
    </row>
    <row r="298" spans="10:11" ht="16" x14ac:dyDescent="0.2">
      <c r="J298" s="3"/>
      <c r="K298" s="5"/>
    </row>
    <row r="299" spans="10:11" ht="16" x14ac:dyDescent="0.2">
      <c r="J299" s="3"/>
      <c r="K299" s="5"/>
    </row>
    <row r="300" spans="10:11" ht="16" x14ac:dyDescent="0.2">
      <c r="J300" s="3"/>
      <c r="K300" s="5"/>
    </row>
    <row r="301" spans="10:11" ht="16" x14ac:dyDescent="0.2">
      <c r="J301" s="3"/>
      <c r="K301" s="5"/>
    </row>
    <row r="302" spans="10:11" ht="16" x14ac:dyDescent="0.2">
      <c r="J302" s="3"/>
      <c r="K302" s="5"/>
    </row>
    <row r="303" spans="10:11" ht="16" x14ac:dyDescent="0.2">
      <c r="J303" s="3"/>
      <c r="K303" s="5"/>
    </row>
    <row r="304" spans="10:11" ht="16" x14ac:dyDescent="0.2">
      <c r="J304" s="3"/>
      <c r="K304" s="5"/>
    </row>
    <row r="305" spans="10:11" ht="16" x14ac:dyDescent="0.2">
      <c r="J305" s="3"/>
      <c r="K305" s="5"/>
    </row>
    <row r="306" spans="10:11" ht="16" x14ac:dyDescent="0.2">
      <c r="J306" s="3"/>
      <c r="K306" s="5"/>
    </row>
    <row r="307" spans="10:11" ht="16" x14ac:dyDescent="0.2">
      <c r="J307" s="3"/>
      <c r="K307" s="5"/>
    </row>
    <row r="308" spans="10:11" ht="16" x14ac:dyDescent="0.2">
      <c r="J308" s="3"/>
      <c r="K308" s="5"/>
    </row>
    <row r="309" spans="10:11" ht="16" x14ac:dyDescent="0.2">
      <c r="J309" s="3"/>
      <c r="K309" s="5"/>
    </row>
    <row r="310" spans="10:11" ht="16" x14ac:dyDescent="0.2">
      <c r="J310" s="3"/>
      <c r="K310" s="5"/>
    </row>
    <row r="311" spans="10:11" ht="16" x14ac:dyDescent="0.2">
      <c r="J311" s="3"/>
      <c r="K311" s="5"/>
    </row>
    <row r="312" spans="10:11" ht="16" x14ac:dyDescent="0.2">
      <c r="J312" s="3"/>
      <c r="K312" s="5"/>
    </row>
    <row r="313" spans="10:11" ht="16" x14ac:dyDescent="0.2">
      <c r="J313" s="3"/>
      <c r="K313" s="5"/>
    </row>
    <row r="314" spans="10:11" ht="16" x14ac:dyDescent="0.2">
      <c r="J314" s="3"/>
      <c r="K314" s="5"/>
    </row>
    <row r="315" spans="10:11" ht="16" x14ac:dyDescent="0.2">
      <c r="J315" s="3"/>
      <c r="K315" s="5"/>
    </row>
    <row r="316" spans="10:11" ht="16" x14ac:dyDescent="0.2">
      <c r="J316" s="3"/>
      <c r="K316" s="5"/>
    </row>
    <row r="317" spans="10:11" ht="16" x14ac:dyDescent="0.2">
      <c r="J317" s="3"/>
      <c r="K317" s="5"/>
    </row>
    <row r="318" spans="10:11" ht="16" x14ac:dyDescent="0.2">
      <c r="J318" s="3"/>
      <c r="K318" s="5"/>
    </row>
    <row r="319" spans="10:11" ht="16" x14ac:dyDescent="0.2">
      <c r="J319" s="3"/>
      <c r="K319" s="5"/>
    </row>
    <row r="320" spans="10:11" ht="16" x14ac:dyDescent="0.2">
      <c r="J320" s="3"/>
      <c r="K320" s="5"/>
    </row>
    <row r="321" spans="10:11" ht="16" x14ac:dyDescent="0.2">
      <c r="J321" s="3"/>
      <c r="K321" s="5"/>
    </row>
    <row r="322" spans="10:11" ht="16" x14ac:dyDescent="0.2">
      <c r="J322" s="3"/>
      <c r="K322" s="5"/>
    </row>
    <row r="323" spans="10:11" ht="16" x14ac:dyDescent="0.2">
      <c r="J323" s="3"/>
      <c r="K323" s="5"/>
    </row>
    <row r="324" spans="10:11" ht="16" x14ac:dyDescent="0.2">
      <c r="J324" s="3"/>
      <c r="K324" s="5"/>
    </row>
    <row r="325" spans="10:11" ht="16" x14ac:dyDescent="0.2">
      <c r="J325" s="3"/>
      <c r="K325" s="5"/>
    </row>
    <row r="326" spans="10:11" ht="16" x14ac:dyDescent="0.2">
      <c r="J326" s="3"/>
      <c r="K326" s="5"/>
    </row>
    <row r="327" spans="10:11" ht="16" x14ac:dyDescent="0.2">
      <c r="J327" s="3"/>
      <c r="K327" s="5"/>
    </row>
    <row r="328" spans="10:11" ht="16" x14ac:dyDescent="0.2">
      <c r="J328" s="3"/>
      <c r="K328" s="5"/>
    </row>
    <row r="329" spans="10:11" ht="16" x14ac:dyDescent="0.2">
      <c r="J329" s="3"/>
      <c r="K329" s="5"/>
    </row>
    <row r="330" spans="10:11" ht="16" x14ac:dyDescent="0.2">
      <c r="J330" s="3"/>
      <c r="K330" s="5"/>
    </row>
    <row r="331" spans="10:11" ht="16" x14ac:dyDescent="0.2">
      <c r="J331" s="3"/>
      <c r="K331" s="5"/>
    </row>
    <row r="332" spans="10:11" ht="16" x14ac:dyDescent="0.2">
      <c r="J332" s="3"/>
      <c r="K332" s="5"/>
    </row>
    <row r="333" spans="10:11" ht="16" x14ac:dyDescent="0.2">
      <c r="J333" s="3"/>
      <c r="K333" s="5"/>
    </row>
    <row r="334" spans="10:11" ht="16" x14ac:dyDescent="0.2">
      <c r="J334" s="3"/>
      <c r="K334" s="5"/>
    </row>
    <row r="335" spans="10:11" ht="16" x14ac:dyDescent="0.2">
      <c r="J335" s="3"/>
      <c r="K335" s="5"/>
    </row>
    <row r="336" spans="10:11" ht="16" x14ac:dyDescent="0.2">
      <c r="J336" s="3"/>
      <c r="K336" s="5"/>
    </row>
    <row r="337" spans="10:11" ht="16" x14ac:dyDescent="0.2">
      <c r="J337" s="3"/>
      <c r="K337" s="5"/>
    </row>
    <row r="338" spans="10:11" ht="16" x14ac:dyDescent="0.2">
      <c r="J338" s="3"/>
      <c r="K338" s="5"/>
    </row>
    <row r="339" spans="10:11" ht="16" x14ac:dyDescent="0.2">
      <c r="J339" s="3"/>
      <c r="K339" s="5"/>
    </row>
    <row r="340" spans="10:11" ht="16" x14ac:dyDescent="0.2">
      <c r="J340" s="3"/>
      <c r="K340" s="5"/>
    </row>
    <row r="341" spans="10:11" ht="16" x14ac:dyDescent="0.2">
      <c r="J341" s="3"/>
      <c r="K341" s="5"/>
    </row>
    <row r="342" spans="10:11" ht="16" x14ac:dyDescent="0.2">
      <c r="J342" s="3"/>
      <c r="K342" s="5"/>
    </row>
    <row r="343" spans="10:11" ht="16" x14ac:dyDescent="0.2">
      <c r="J343" s="3"/>
      <c r="K343" s="5"/>
    </row>
    <row r="344" spans="10:11" ht="16" x14ac:dyDescent="0.2">
      <c r="J344" s="3"/>
      <c r="K344" s="5"/>
    </row>
    <row r="345" spans="10:11" ht="16" x14ac:dyDescent="0.2">
      <c r="J345" s="3"/>
      <c r="K345" s="5"/>
    </row>
    <row r="346" spans="10:11" ht="16" x14ac:dyDescent="0.2">
      <c r="J346" s="3"/>
      <c r="K346" s="5"/>
    </row>
    <row r="347" spans="10:11" ht="16" x14ac:dyDescent="0.2">
      <c r="J347" s="3"/>
      <c r="K347" s="5"/>
    </row>
    <row r="348" spans="10:11" ht="16" x14ac:dyDescent="0.2">
      <c r="J348" s="3"/>
      <c r="K348" s="5"/>
    </row>
    <row r="349" spans="10:11" ht="16" x14ac:dyDescent="0.2">
      <c r="J349" s="3"/>
      <c r="K349" s="5"/>
    </row>
    <row r="350" spans="10:11" ht="16" x14ac:dyDescent="0.2">
      <c r="J350" s="3"/>
      <c r="K350" s="5"/>
    </row>
    <row r="351" spans="10:11" ht="16" x14ac:dyDescent="0.2">
      <c r="J351" s="3"/>
      <c r="K351" s="5"/>
    </row>
    <row r="352" spans="10:11" ht="16" x14ac:dyDescent="0.2">
      <c r="J352" s="3"/>
      <c r="K352" s="5"/>
    </row>
    <row r="353" spans="10:11" ht="16" x14ac:dyDescent="0.2">
      <c r="J353" s="3"/>
      <c r="K353" s="5"/>
    </row>
    <row r="354" spans="10:11" ht="16" x14ac:dyDescent="0.2">
      <c r="J354" s="3"/>
      <c r="K354" s="5"/>
    </row>
    <row r="355" spans="10:11" ht="16" x14ac:dyDescent="0.2">
      <c r="J355" s="3"/>
      <c r="K355" s="5"/>
    </row>
    <row r="356" spans="10:11" ht="16" x14ac:dyDescent="0.2">
      <c r="J356" s="3"/>
      <c r="K356" s="5"/>
    </row>
    <row r="357" spans="10:11" ht="16" x14ac:dyDescent="0.2">
      <c r="J357" s="3"/>
      <c r="K357" s="5"/>
    </row>
    <row r="358" spans="10:11" ht="16" x14ac:dyDescent="0.2">
      <c r="J358" s="3"/>
      <c r="K358" s="5"/>
    </row>
    <row r="359" spans="10:11" ht="16" x14ac:dyDescent="0.2">
      <c r="J359" s="3"/>
      <c r="K359" s="5"/>
    </row>
    <row r="360" spans="10:11" ht="16" x14ac:dyDescent="0.2">
      <c r="J360" s="3"/>
      <c r="K360" s="5"/>
    </row>
    <row r="361" spans="10:11" ht="16" x14ac:dyDescent="0.2">
      <c r="J361" s="3"/>
      <c r="K361" s="5"/>
    </row>
    <row r="362" spans="10:11" ht="16" x14ac:dyDescent="0.2">
      <c r="J362" s="3"/>
      <c r="K362" s="5"/>
    </row>
    <row r="363" spans="10:11" ht="16" x14ac:dyDescent="0.2">
      <c r="J363" s="3"/>
      <c r="K363" s="5"/>
    </row>
    <row r="364" spans="10:11" ht="16" x14ac:dyDescent="0.2">
      <c r="J364" s="3"/>
      <c r="K364" s="5"/>
    </row>
    <row r="365" spans="10:11" ht="16" x14ac:dyDescent="0.2">
      <c r="J365" s="3"/>
      <c r="K365" s="5"/>
    </row>
    <row r="366" spans="10:11" ht="16" x14ac:dyDescent="0.2">
      <c r="J366" s="3"/>
      <c r="K366" s="5"/>
    </row>
    <row r="367" spans="10:11" ht="16" x14ac:dyDescent="0.2">
      <c r="J367" s="3"/>
      <c r="K367" s="5"/>
    </row>
    <row r="368" spans="10:11" ht="16" x14ac:dyDescent="0.2">
      <c r="J368" s="3"/>
      <c r="K368" s="5"/>
    </row>
    <row r="369" spans="10:11" ht="16" x14ac:dyDescent="0.2">
      <c r="J369" s="3"/>
      <c r="K369" s="5"/>
    </row>
    <row r="370" spans="10:11" ht="16" x14ac:dyDescent="0.2">
      <c r="J370" s="3"/>
      <c r="K370" s="5"/>
    </row>
    <row r="371" spans="10:11" ht="16" x14ac:dyDescent="0.2">
      <c r="J371" s="3"/>
      <c r="K371" s="5"/>
    </row>
    <row r="372" spans="10:11" ht="16" x14ac:dyDescent="0.2">
      <c r="J372" s="3"/>
      <c r="K372" s="5"/>
    </row>
    <row r="373" spans="10:11" ht="16" x14ac:dyDescent="0.2">
      <c r="J373" s="3"/>
      <c r="K373" s="5"/>
    </row>
    <row r="374" spans="10:11" ht="16" x14ac:dyDescent="0.2">
      <c r="J374" s="3"/>
      <c r="K374" s="5"/>
    </row>
    <row r="375" spans="10:11" ht="16" x14ac:dyDescent="0.2">
      <c r="J375" s="3"/>
      <c r="K375" s="5"/>
    </row>
    <row r="376" spans="10:11" ht="16" x14ac:dyDescent="0.2">
      <c r="J376" s="3"/>
      <c r="K376" s="5"/>
    </row>
    <row r="377" spans="10:11" ht="16" x14ac:dyDescent="0.2">
      <c r="J377" s="3"/>
      <c r="K377" s="5"/>
    </row>
    <row r="378" spans="10:11" ht="16" x14ac:dyDescent="0.2">
      <c r="J378" s="3"/>
      <c r="K378" s="5"/>
    </row>
    <row r="379" spans="10:11" ht="16" x14ac:dyDescent="0.2">
      <c r="J379" s="3"/>
      <c r="K379" s="5"/>
    </row>
    <row r="380" spans="10:11" ht="16" x14ac:dyDescent="0.2">
      <c r="J380" s="3"/>
      <c r="K380" s="5"/>
    </row>
    <row r="381" spans="10:11" ht="16" x14ac:dyDescent="0.2">
      <c r="J381" s="3"/>
      <c r="K381" s="5"/>
    </row>
    <row r="382" spans="10:11" ht="16" x14ac:dyDescent="0.2">
      <c r="J382" s="3"/>
      <c r="K382" s="5"/>
    </row>
    <row r="383" spans="10:11" ht="16" x14ac:dyDescent="0.2">
      <c r="J383" s="3"/>
      <c r="K383" s="5"/>
    </row>
    <row r="384" spans="10:11" ht="16" x14ac:dyDescent="0.2">
      <c r="J384" s="3"/>
      <c r="K384" s="5"/>
    </row>
    <row r="385" spans="10:11" ht="16" x14ac:dyDescent="0.2">
      <c r="J385" s="3"/>
      <c r="K385" s="5"/>
    </row>
    <row r="386" spans="10:11" ht="16" x14ac:dyDescent="0.2">
      <c r="J386" s="3"/>
      <c r="K386" s="5"/>
    </row>
    <row r="387" spans="10:11" ht="16" x14ac:dyDescent="0.2">
      <c r="J387" s="3"/>
      <c r="K387" s="5"/>
    </row>
    <row r="388" spans="10:11" ht="16" x14ac:dyDescent="0.2">
      <c r="J388" s="3"/>
      <c r="K388" s="5"/>
    </row>
    <row r="389" spans="10:11" ht="16" x14ac:dyDescent="0.2">
      <c r="J389" s="3"/>
      <c r="K389" s="5"/>
    </row>
    <row r="390" spans="10:11" ht="16" x14ac:dyDescent="0.2">
      <c r="J390" s="3"/>
      <c r="K390" s="5"/>
    </row>
    <row r="391" spans="10:11" ht="16" x14ac:dyDescent="0.2">
      <c r="J391" s="3"/>
      <c r="K391" s="5"/>
    </row>
    <row r="392" spans="10:11" ht="16" x14ac:dyDescent="0.2">
      <c r="J392" s="3"/>
      <c r="K392" s="5"/>
    </row>
    <row r="393" spans="10:11" ht="16" x14ac:dyDescent="0.2">
      <c r="J393" s="3"/>
      <c r="K393" s="5"/>
    </row>
    <row r="394" spans="10:11" ht="16" x14ac:dyDescent="0.2">
      <c r="J394" s="3"/>
      <c r="K394" s="5"/>
    </row>
    <row r="395" spans="10:11" ht="16" x14ac:dyDescent="0.2">
      <c r="J395" s="3"/>
      <c r="K395" s="5"/>
    </row>
    <row r="396" spans="10:11" ht="16" x14ac:dyDescent="0.2">
      <c r="J396" s="3"/>
      <c r="K396" s="5"/>
    </row>
    <row r="397" spans="10:11" ht="16" x14ac:dyDescent="0.2">
      <c r="J397" s="3"/>
      <c r="K397" s="5"/>
    </row>
    <row r="398" spans="10:11" ht="16" x14ac:dyDescent="0.2">
      <c r="J398" s="3"/>
      <c r="K398" s="5"/>
    </row>
    <row r="399" spans="10:11" ht="16" x14ac:dyDescent="0.2">
      <c r="J399" s="3"/>
      <c r="K399" s="5"/>
    </row>
    <row r="400" spans="10:11" ht="16" x14ac:dyDescent="0.2">
      <c r="J400" s="3"/>
      <c r="K400" s="5"/>
    </row>
    <row r="401" spans="10:11" ht="16" x14ac:dyDescent="0.2">
      <c r="J401" s="3"/>
      <c r="K401" s="5"/>
    </row>
    <row r="402" spans="10:11" ht="16" x14ac:dyDescent="0.2">
      <c r="J402" s="3"/>
      <c r="K402" s="5"/>
    </row>
    <row r="403" spans="10:11" ht="16" x14ac:dyDescent="0.2">
      <c r="J403" s="3"/>
      <c r="K403" s="5"/>
    </row>
    <row r="404" spans="10:11" ht="16" x14ac:dyDescent="0.2">
      <c r="J404" s="3"/>
      <c r="K404" s="5"/>
    </row>
    <row r="405" spans="10:11" ht="16" x14ac:dyDescent="0.2">
      <c r="J405" s="3"/>
      <c r="K405" s="5"/>
    </row>
    <row r="406" spans="10:11" ht="16" x14ac:dyDescent="0.2">
      <c r="J406" s="3"/>
      <c r="K406" s="5"/>
    </row>
    <row r="407" spans="10:11" ht="16" x14ac:dyDescent="0.2">
      <c r="J407" s="3"/>
      <c r="K407" s="5"/>
    </row>
    <row r="408" spans="10:11" ht="16" x14ac:dyDescent="0.2">
      <c r="J408" s="3"/>
      <c r="K408" s="5"/>
    </row>
    <row r="409" spans="10:11" ht="16" x14ac:dyDescent="0.2">
      <c r="J409" s="3"/>
      <c r="K409" s="5"/>
    </row>
    <row r="410" spans="10:11" ht="16" x14ac:dyDescent="0.2">
      <c r="J410" s="3"/>
      <c r="K410" s="5"/>
    </row>
    <row r="411" spans="10:11" ht="16" x14ac:dyDescent="0.2">
      <c r="J411" s="3"/>
      <c r="K411" s="5"/>
    </row>
    <row r="412" spans="10:11" ht="16" x14ac:dyDescent="0.2">
      <c r="J412" s="3"/>
      <c r="K412" s="5"/>
    </row>
    <row r="413" spans="10:11" ht="16" x14ac:dyDescent="0.2">
      <c r="J413" s="3"/>
      <c r="K413" s="5"/>
    </row>
    <row r="414" spans="10:11" ht="16" x14ac:dyDescent="0.2">
      <c r="J414" s="3"/>
      <c r="K414" s="5"/>
    </row>
    <row r="415" spans="10:11" ht="16" x14ac:dyDescent="0.2">
      <c r="J415" s="3"/>
      <c r="K415" s="5"/>
    </row>
    <row r="416" spans="10:11" ht="16" x14ac:dyDescent="0.2">
      <c r="J416" s="3"/>
      <c r="K416" s="5"/>
    </row>
    <row r="417" spans="10:11" ht="16" x14ac:dyDescent="0.2">
      <c r="J417" s="3"/>
      <c r="K417" s="5"/>
    </row>
    <row r="418" spans="10:11" ht="16" x14ac:dyDescent="0.2">
      <c r="J418" s="3"/>
      <c r="K418" s="5"/>
    </row>
    <row r="419" spans="10:11" ht="16" x14ac:dyDescent="0.2">
      <c r="J419" s="3"/>
      <c r="K419" s="5"/>
    </row>
    <row r="420" spans="10:11" ht="16" x14ac:dyDescent="0.2">
      <c r="J420" s="3"/>
      <c r="K420" s="5"/>
    </row>
    <row r="421" spans="10:11" ht="16" x14ac:dyDescent="0.2">
      <c r="J421" s="3"/>
      <c r="K421" s="5"/>
    </row>
    <row r="422" spans="10:11" ht="16" x14ac:dyDescent="0.2">
      <c r="J422" s="3"/>
      <c r="K422" s="5"/>
    </row>
    <row r="423" spans="10:11" ht="16" x14ac:dyDescent="0.2">
      <c r="J423" s="3"/>
      <c r="K423" s="5"/>
    </row>
    <row r="424" spans="10:11" ht="16" x14ac:dyDescent="0.2">
      <c r="J424" s="3"/>
      <c r="K424" s="5"/>
    </row>
    <row r="425" spans="10:11" ht="16" x14ac:dyDescent="0.2">
      <c r="J425" s="3"/>
      <c r="K425" s="5"/>
    </row>
    <row r="426" spans="10:11" ht="16" x14ac:dyDescent="0.2">
      <c r="J426" s="3"/>
      <c r="K426" s="5"/>
    </row>
    <row r="427" spans="10:11" ht="16" x14ac:dyDescent="0.2">
      <c r="J427" s="3"/>
      <c r="K427" s="5"/>
    </row>
    <row r="428" spans="10:11" ht="16" x14ac:dyDescent="0.2">
      <c r="J428" s="3"/>
      <c r="K428" s="5"/>
    </row>
    <row r="429" spans="10:11" ht="16" x14ac:dyDescent="0.2">
      <c r="J429" s="3"/>
      <c r="K429" s="5"/>
    </row>
    <row r="430" spans="10:11" ht="16" x14ac:dyDescent="0.2">
      <c r="J430" s="3"/>
      <c r="K430" s="5"/>
    </row>
    <row r="431" spans="10:11" ht="16" x14ac:dyDescent="0.2">
      <c r="J431" s="3"/>
      <c r="K431" s="5"/>
    </row>
    <row r="432" spans="10:11" ht="16" x14ac:dyDescent="0.2">
      <c r="J432" s="3"/>
      <c r="K432" s="5"/>
    </row>
    <row r="433" spans="10:11" ht="16" x14ac:dyDescent="0.2">
      <c r="J433" s="3"/>
      <c r="K433" s="5"/>
    </row>
    <row r="434" spans="10:11" ht="16" x14ac:dyDescent="0.2">
      <c r="J434" s="3"/>
      <c r="K434" s="5"/>
    </row>
    <row r="435" spans="10:11" ht="16" x14ac:dyDescent="0.2">
      <c r="J435" s="3"/>
      <c r="K435" s="5"/>
    </row>
    <row r="436" spans="10:11" ht="16" x14ac:dyDescent="0.2">
      <c r="J436" s="3"/>
      <c r="K436" s="5"/>
    </row>
    <row r="437" spans="10:11" ht="16" x14ac:dyDescent="0.2">
      <c r="J437" s="3"/>
      <c r="K437" s="5"/>
    </row>
    <row r="438" spans="10:11" ht="16" x14ac:dyDescent="0.2">
      <c r="J438" s="3"/>
      <c r="K438" s="5"/>
    </row>
    <row r="439" spans="10:11" ht="16" x14ac:dyDescent="0.2">
      <c r="J439" s="3"/>
      <c r="K439" s="5"/>
    </row>
    <row r="440" spans="10:11" ht="16" x14ac:dyDescent="0.2">
      <c r="J440" s="3"/>
      <c r="K440" s="5"/>
    </row>
    <row r="441" spans="10:11" ht="16" x14ac:dyDescent="0.2">
      <c r="J441" s="3"/>
      <c r="K441" s="5"/>
    </row>
    <row r="442" spans="10:11" ht="16" x14ac:dyDescent="0.2">
      <c r="J442" s="3"/>
      <c r="K442" s="5"/>
    </row>
    <row r="443" spans="10:11" ht="16" x14ac:dyDescent="0.2">
      <c r="J443" s="3"/>
      <c r="K443" s="5"/>
    </row>
    <row r="444" spans="10:11" ht="16" x14ac:dyDescent="0.2">
      <c r="J444" s="3"/>
      <c r="K444" s="5"/>
    </row>
    <row r="445" spans="10:11" ht="16" x14ac:dyDescent="0.2">
      <c r="J445" s="3"/>
      <c r="K445" s="5"/>
    </row>
    <row r="446" spans="10:11" ht="16" x14ac:dyDescent="0.2">
      <c r="J446" s="3"/>
      <c r="K446" s="5"/>
    </row>
    <row r="447" spans="10:11" ht="16" x14ac:dyDescent="0.2">
      <c r="J447" s="3"/>
      <c r="K447" s="5"/>
    </row>
    <row r="448" spans="10:11" ht="16" x14ac:dyDescent="0.2">
      <c r="J448" s="3"/>
      <c r="K448" s="5"/>
    </row>
    <row r="449" spans="10:11" ht="16" x14ac:dyDescent="0.2">
      <c r="J449" s="3"/>
      <c r="K449" s="5"/>
    </row>
    <row r="450" spans="10:11" ht="16" x14ac:dyDescent="0.2">
      <c r="J450" s="3"/>
      <c r="K450" s="5"/>
    </row>
    <row r="451" spans="10:11" ht="16" x14ac:dyDescent="0.2">
      <c r="J451" s="3"/>
      <c r="K451" s="5"/>
    </row>
    <row r="452" spans="10:11" ht="16" x14ac:dyDescent="0.2">
      <c r="J452" s="3"/>
      <c r="K452" s="5"/>
    </row>
    <row r="453" spans="10:11" ht="16" x14ac:dyDescent="0.2">
      <c r="J453" s="3"/>
      <c r="K453" s="5"/>
    </row>
    <row r="454" spans="10:11" ht="16" x14ac:dyDescent="0.2">
      <c r="J454" s="3"/>
      <c r="K454" s="5"/>
    </row>
    <row r="455" spans="10:11" ht="16" x14ac:dyDescent="0.2">
      <c r="J455" s="3"/>
      <c r="K455" s="5"/>
    </row>
    <row r="456" spans="10:11" ht="16" x14ac:dyDescent="0.2">
      <c r="J456" s="3"/>
      <c r="K456" s="5"/>
    </row>
    <row r="457" spans="10:11" ht="16" x14ac:dyDescent="0.2">
      <c r="J457" s="3"/>
      <c r="K457" s="5"/>
    </row>
    <row r="458" spans="10:11" ht="16" x14ac:dyDescent="0.2">
      <c r="J458" s="3"/>
      <c r="K458" s="5"/>
    </row>
    <row r="459" spans="10:11" ht="16" x14ac:dyDescent="0.2">
      <c r="J459" s="3"/>
      <c r="K459" s="5"/>
    </row>
    <row r="460" spans="10:11" ht="16" x14ac:dyDescent="0.2">
      <c r="J460" s="3"/>
      <c r="K460" s="5"/>
    </row>
    <row r="461" spans="10:11" ht="16" x14ac:dyDescent="0.2">
      <c r="J461" s="3"/>
      <c r="K461" s="5"/>
    </row>
    <row r="462" spans="10:11" ht="16" x14ac:dyDescent="0.2">
      <c r="J462" s="3"/>
      <c r="K462" s="5"/>
    </row>
    <row r="463" spans="10:11" ht="16" x14ac:dyDescent="0.2">
      <c r="J463" s="3"/>
      <c r="K463" s="5"/>
    </row>
    <row r="464" spans="10:11" ht="16" x14ac:dyDescent="0.2">
      <c r="J464" s="3"/>
      <c r="K464" s="5"/>
    </row>
    <row r="465" spans="10:11" ht="16" x14ac:dyDescent="0.2">
      <c r="J465" s="3"/>
      <c r="K465" s="5"/>
    </row>
    <row r="466" spans="10:11" ht="16" x14ac:dyDescent="0.2">
      <c r="J466" s="3"/>
      <c r="K466" s="5"/>
    </row>
    <row r="467" spans="10:11" ht="16" x14ac:dyDescent="0.2">
      <c r="J467" s="3"/>
      <c r="K467" s="5"/>
    </row>
    <row r="468" spans="10:11" ht="16" x14ac:dyDescent="0.2">
      <c r="J468" s="3"/>
      <c r="K468" s="5"/>
    </row>
    <row r="469" spans="10:11" ht="16" x14ac:dyDescent="0.2">
      <c r="J469" s="3"/>
      <c r="K469" s="5"/>
    </row>
    <row r="470" spans="10:11" ht="16" x14ac:dyDescent="0.2">
      <c r="J470" s="3"/>
      <c r="K470" s="5"/>
    </row>
    <row r="471" spans="10:11" ht="16" x14ac:dyDescent="0.2">
      <c r="J471" s="3"/>
      <c r="K471" s="5"/>
    </row>
    <row r="472" spans="10:11" ht="16" x14ac:dyDescent="0.2">
      <c r="J472" s="3"/>
      <c r="K472" s="5"/>
    </row>
    <row r="473" spans="10:11" ht="16" x14ac:dyDescent="0.2">
      <c r="J473" s="3"/>
      <c r="K473" s="5"/>
    </row>
    <row r="474" spans="10:11" ht="16" x14ac:dyDescent="0.2">
      <c r="J474" s="3"/>
      <c r="K474" s="5"/>
    </row>
    <row r="475" spans="10:11" ht="16" x14ac:dyDescent="0.2">
      <c r="J475" s="3"/>
      <c r="K475" s="5"/>
    </row>
    <row r="476" spans="10:11" ht="16" x14ac:dyDescent="0.2">
      <c r="J476" s="3"/>
      <c r="K476" s="5"/>
    </row>
    <row r="477" spans="10:11" ht="16" x14ac:dyDescent="0.2">
      <c r="J477" s="3"/>
      <c r="K477" s="5"/>
    </row>
    <row r="478" spans="10:11" ht="16" x14ac:dyDescent="0.2">
      <c r="J478" s="3"/>
      <c r="K478" s="5"/>
    </row>
    <row r="479" spans="10:11" ht="16" x14ac:dyDescent="0.2">
      <c r="J479" s="3"/>
      <c r="K479" s="5"/>
    </row>
    <row r="480" spans="10:11" ht="16" x14ac:dyDescent="0.2">
      <c r="J480" s="3"/>
      <c r="K480" s="5"/>
    </row>
    <row r="481" spans="10:11" ht="16" x14ac:dyDescent="0.2">
      <c r="J481" s="3"/>
      <c r="K481" s="5"/>
    </row>
    <row r="482" spans="10:11" ht="16" x14ac:dyDescent="0.2">
      <c r="J482" s="3"/>
      <c r="K482" s="5"/>
    </row>
    <row r="483" spans="10:11" ht="16" x14ac:dyDescent="0.2">
      <c r="J483" s="3"/>
      <c r="K483" s="5"/>
    </row>
    <row r="484" spans="10:11" ht="16" x14ac:dyDescent="0.2">
      <c r="J484" s="3"/>
      <c r="K484" s="5"/>
    </row>
    <row r="485" spans="10:11" ht="16" x14ac:dyDescent="0.2">
      <c r="J485" s="3"/>
      <c r="K485" s="5"/>
    </row>
    <row r="486" spans="10:11" ht="16" x14ac:dyDescent="0.2">
      <c r="J486" s="3"/>
      <c r="K486" s="5"/>
    </row>
    <row r="487" spans="10:11" ht="16" x14ac:dyDescent="0.2">
      <c r="J487" s="3"/>
      <c r="K487" s="5"/>
    </row>
    <row r="488" spans="10:11" ht="16" x14ac:dyDescent="0.2">
      <c r="J488" s="3"/>
      <c r="K488" s="5"/>
    </row>
    <row r="489" spans="10:11" ht="16" x14ac:dyDescent="0.2">
      <c r="J489" s="3"/>
      <c r="K489" s="5"/>
    </row>
    <row r="490" spans="10:11" ht="16" x14ac:dyDescent="0.2">
      <c r="J490" s="3"/>
      <c r="K490" s="5"/>
    </row>
    <row r="491" spans="10:11" ht="16" x14ac:dyDescent="0.2">
      <c r="J491" s="3"/>
      <c r="K491" s="5"/>
    </row>
    <row r="492" spans="10:11" ht="16" x14ac:dyDescent="0.2">
      <c r="J492" s="3"/>
      <c r="K492" s="5"/>
    </row>
    <row r="493" spans="10:11" ht="16" x14ac:dyDescent="0.2">
      <c r="J493" s="3"/>
      <c r="K493" s="5"/>
    </row>
    <row r="494" spans="10:11" ht="16" x14ac:dyDescent="0.2">
      <c r="J494" s="3"/>
      <c r="K494" s="5"/>
    </row>
    <row r="495" spans="10:11" ht="16" x14ac:dyDescent="0.2">
      <c r="J495" s="3"/>
      <c r="K495" s="5"/>
    </row>
    <row r="496" spans="10:11" ht="16" x14ac:dyDescent="0.2">
      <c r="J496" s="3"/>
      <c r="K496" s="5"/>
    </row>
    <row r="497" spans="10:11" ht="16" x14ac:dyDescent="0.2">
      <c r="J497" s="3"/>
      <c r="K497" s="5"/>
    </row>
    <row r="498" spans="10:11" ht="16" x14ac:dyDescent="0.2">
      <c r="J498" s="3"/>
      <c r="K498" s="5"/>
    </row>
    <row r="499" spans="10:11" ht="16" x14ac:dyDescent="0.2">
      <c r="J499" s="3"/>
      <c r="K499" s="5"/>
    </row>
    <row r="500" spans="10:11" ht="16" x14ac:dyDescent="0.2">
      <c r="J500" s="3"/>
      <c r="K500" s="5"/>
    </row>
    <row r="501" spans="10:11" ht="16" x14ac:dyDescent="0.2">
      <c r="J501" s="3"/>
      <c r="K501" s="5"/>
    </row>
    <row r="502" spans="10:11" ht="16" x14ac:dyDescent="0.2">
      <c r="J502" s="3"/>
      <c r="K502" s="5"/>
    </row>
    <row r="503" spans="10:11" ht="16" x14ac:dyDescent="0.2">
      <c r="J503" s="3"/>
      <c r="K503" s="5"/>
    </row>
    <row r="504" spans="10:11" ht="16" x14ac:dyDescent="0.2">
      <c r="J504" s="3"/>
      <c r="K504" s="5"/>
    </row>
    <row r="505" spans="10:11" ht="16" x14ac:dyDescent="0.2">
      <c r="J505" s="3"/>
      <c r="K505" s="5"/>
    </row>
    <row r="506" spans="10:11" ht="16" x14ac:dyDescent="0.2">
      <c r="J506" s="3"/>
      <c r="K506" s="5"/>
    </row>
    <row r="507" spans="10:11" ht="16" x14ac:dyDescent="0.2">
      <c r="J507" s="3"/>
      <c r="K507" s="5"/>
    </row>
    <row r="508" spans="10:11" ht="16" x14ac:dyDescent="0.2">
      <c r="J508" s="3"/>
      <c r="K508" s="5"/>
    </row>
    <row r="509" spans="10:11" ht="16" x14ac:dyDescent="0.2">
      <c r="J509" s="3"/>
      <c r="K509" s="5"/>
    </row>
    <row r="510" spans="10:11" ht="16" x14ac:dyDescent="0.2">
      <c r="J510" s="3"/>
      <c r="K510" s="5"/>
    </row>
    <row r="511" spans="10:11" ht="16" x14ac:dyDescent="0.2">
      <c r="J511" s="3"/>
      <c r="K511" s="5"/>
    </row>
    <row r="512" spans="10:11" ht="16" x14ac:dyDescent="0.2">
      <c r="J512" s="3"/>
      <c r="K512" s="5"/>
    </row>
    <row r="513" spans="10:11" ht="16" x14ac:dyDescent="0.2">
      <c r="J513" s="3"/>
      <c r="K513" s="5"/>
    </row>
    <row r="514" spans="10:11" ht="16" x14ac:dyDescent="0.2">
      <c r="J514" s="3"/>
      <c r="K514" s="5"/>
    </row>
    <row r="515" spans="10:11" ht="16" x14ac:dyDescent="0.2">
      <c r="J515" s="3"/>
      <c r="K515" s="5"/>
    </row>
    <row r="516" spans="10:11" ht="16" x14ac:dyDescent="0.2">
      <c r="J516" s="3"/>
      <c r="K516" s="5"/>
    </row>
    <row r="517" spans="10:11" ht="16" x14ac:dyDescent="0.2">
      <c r="J517" s="3"/>
      <c r="K517" s="5"/>
    </row>
    <row r="518" spans="10:11" ht="16" x14ac:dyDescent="0.2">
      <c r="J518" s="3"/>
      <c r="K518" s="5"/>
    </row>
    <row r="519" spans="10:11" ht="16" x14ac:dyDescent="0.2">
      <c r="J519" s="3"/>
      <c r="K519" s="5"/>
    </row>
    <row r="520" spans="10:11" ht="16" x14ac:dyDescent="0.2">
      <c r="J520" s="3"/>
      <c r="K520" s="5"/>
    </row>
    <row r="521" spans="10:11" ht="16" x14ac:dyDescent="0.2">
      <c r="J521" s="3"/>
      <c r="K521" s="5"/>
    </row>
    <row r="522" spans="10:11" ht="16" x14ac:dyDescent="0.2">
      <c r="J522" s="3"/>
      <c r="K522" s="5"/>
    </row>
    <row r="523" spans="10:11" ht="16" x14ac:dyDescent="0.2">
      <c r="J523" s="3"/>
      <c r="K523" s="5"/>
    </row>
    <row r="524" spans="10:11" ht="16" x14ac:dyDescent="0.2">
      <c r="J524" s="3"/>
      <c r="K524" s="5"/>
    </row>
    <row r="525" spans="10:11" ht="16" x14ac:dyDescent="0.2">
      <c r="J525" s="3"/>
      <c r="K525" s="5"/>
    </row>
    <row r="526" spans="10:11" ht="16" x14ac:dyDescent="0.2">
      <c r="J526" s="3"/>
      <c r="K526" s="5"/>
    </row>
    <row r="527" spans="10:11" ht="16" x14ac:dyDescent="0.2">
      <c r="J527" s="3"/>
      <c r="K527" s="5"/>
    </row>
    <row r="528" spans="10:11" ht="16" x14ac:dyDescent="0.2">
      <c r="J528" s="3"/>
      <c r="K528" s="5"/>
    </row>
    <row r="529" spans="10:11" ht="16" x14ac:dyDescent="0.2">
      <c r="J529" s="3"/>
      <c r="K529" s="5"/>
    </row>
    <row r="530" spans="10:11" ht="16" x14ac:dyDescent="0.2">
      <c r="J530" s="3"/>
      <c r="K530" s="5"/>
    </row>
    <row r="531" spans="10:11" ht="16" x14ac:dyDescent="0.2">
      <c r="J531" s="3"/>
      <c r="K531" s="5"/>
    </row>
    <row r="532" spans="10:11" ht="16" x14ac:dyDescent="0.2">
      <c r="J532" s="3"/>
      <c r="K532" s="5"/>
    </row>
    <row r="533" spans="10:11" ht="16" x14ac:dyDescent="0.2">
      <c r="J533" s="3"/>
      <c r="K533" s="5"/>
    </row>
    <row r="534" spans="10:11" ht="16" x14ac:dyDescent="0.2">
      <c r="J534" s="3"/>
      <c r="K534" s="5"/>
    </row>
    <row r="535" spans="10:11" ht="16" x14ac:dyDescent="0.2">
      <c r="J535" s="3"/>
      <c r="K535" s="5"/>
    </row>
    <row r="536" spans="10:11" ht="16" x14ac:dyDescent="0.2">
      <c r="J536" s="3"/>
      <c r="K536" s="5"/>
    </row>
    <row r="537" spans="10:11" ht="16" x14ac:dyDescent="0.2">
      <c r="J537" s="3"/>
      <c r="K537" s="5"/>
    </row>
    <row r="538" spans="10:11" ht="16" x14ac:dyDescent="0.2">
      <c r="J538" s="3"/>
      <c r="K538" s="5"/>
    </row>
    <row r="539" spans="10:11" ht="16" x14ac:dyDescent="0.2">
      <c r="J539" s="3"/>
      <c r="K539" s="5"/>
    </row>
    <row r="540" spans="10:11" ht="16" x14ac:dyDescent="0.2">
      <c r="J540" s="3"/>
      <c r="K540" s="5"/>
    </row>
    <row r="541" spans="10:11" ht="16" x14ac:dyDescent="0.2">
      <c r="J541" s="3"/>
      <c r="K541" s="5"/>
    </row>
    <row r="542" spans="10:11" ht="16" x14ac:dyDescent="0.2">
      <c r="J542" s="3"/>
      <c r="K542" s="5"/>
    </row>
    <row r="543" spans="10:11" ht="16" x14ac:dyDescent="0.2">
      <c r="J543" s="3"/>
      <c r="K543" s="5"/>
    </row>
    <row r="544" spans="10:11" ht="16" x14ac:dyDescent="0.2">
      <c r="J544" s="3"/>
      <c r="K544" s="5"/>
    </row>
    <row r="545" spans="10:11" ht="16" x14ac:dyDescent="0.2">
      <c r="J545" s="3"/>
      <c r="K545" s="5"/>
    </row>
    <row r="546" spans="10:11" ht="16" x14ac:dyDescent="0.2">
      <c r="J546" s="3"/>
      <c r="K546" s="5"/>
    </row>
    <row r="547" spans="10:11" ht="16" x14ac:dyDescent="0.2">
      <c r="J547" s="3"/>
      <c r="K547" s="5"/>
    </row>
    <row r="548" spans="10:11" ht="16" x14ac:dyDescent="0.2">
      <c r="J548" s="3"/>
      <c r="K548" s="5"/>
    </row>
    <row r="549" spans="10:11" ht="16" x14ac:dyDescent="0.2">
      <c r="J549" s="3"/>
      <c r="K549" s="5"/>
    </row>
    <row r="550" spans="10:11" ht="16" x14ac:dyDescent="0.2">
      <c r="J550" s="3"/>
      <c r="K550" s="5"/>
    </row>
    <row r="551" spans="10:11" ht="16" x14ac:dyDescent="0.2">
      <c r="J551" s="3"/>
      <c r="K551" s="5"/>
    </row>
    <row r="552" spans="10:11" ht="16" x14ac:dyDescent="0.2">
      <c r="J552" s="3"/>
      <c r="K552" s="5"/>
    </row>
    <row r="553" spans="10:11" ht="16" x14ac:dyDescent="0.2">
      <c r="J553" s="3"/>
      <c r="K553" s="5"/>
    </row>
    <row r="554" spans="10:11" ht="16" x14ac:dyDescent="0.2">
      <c r="J554" s="3"/>
      <c r="K554" s="5"/>
    </row>
    <row r="555" spans="10:11" ht="16" x14ac:dyDescent="0.2">
      <c r="J555" s="3"/>
      <c r="K555" s="5"/>
    </row>
    <row r="556" spans="10:11" ht="16" x14ac:dyDescent="0.2">
      <c r="J556" s="3"/>
      <c r="K556" s="5"/>
    </row>
    <row r="557" spans="10:11" ht="16" x14ac:dyDescent="0.2">
      <c r="J557" s="3"/>
      <c r="K557" s="5"/>
    </row>
    <row r="558" spans="10:11" ht="16" x14ac:dyDescent="0.2">
      <c r="J558" s="3"/>
      <c r="K558" s="5"/>
    </row>
    <row r="559" spans="10:11" ht="16" x14ac:dyDescent="0.2">
      <c r="J559" s="3"/>
      <c r="K559" s="5"/>
    </row>
    <row r="560" spans="10:11" ht="16" x14ac:dyDescent="0.2">
      <c r="J560" s="3"/>
      <c r="K560" s="5"/>
    </row>
    <row r="561" spans="10:11" ht="16" x14ac:dyDescent="0.2">
      <c r="J561" s="3"/>
      <c r="K561" s="5"/>
    </row>
    <row r="562" spans="10:11" ht="16" x14ac:dyDescent="0.2">
      <c r="J562" s="3"/>
      <c r="K562" s="5"/>
    </row>
    <row r="563" spans="10:11" ht="16" x14ac:dyDescent="0.2">
      <c r="J563" s="3"/>
      <c r="K563" s="5"/>
    </row>
    <row r="564" spans="10:11" ht="16" x14ac:dyDescent="0.2">
      <c r="J564" s="3"/>
      <c r="K564" s="5"/>
    </row>
    <row r="565" spans="10:11" ht="16" x14ac:dyDescent="0.2">
      <c r="J565" s="3"/>
      <c r="K565" s="5"/>
    </row>
    <row r="566" spans="10:11" ht="16" x14ac:dyDescent="0.2">
      <c r="J566" s="3"/>
      <c r="K566" s="5"/>
    </row>
    <row r="567" spans="10:11" ht="16" x14ac:dyDescent="0.2">
      <c r="J567" s="3"/>
      <c r="K567" s="5"/>
    </row>
    <row r="568" spans="10:11" ht="16" x14ac:dyDescent="0.2">
      <c r="J568" s="3"/>
      <c r="K568" s="5"/>
    </row>
    <row r="569" spans="10:11" ht="16" x14ac:dyDescent="0.2">
      <c r="J569" s="3"/>
      <c r="K569" s="5"/>
    </row>
    <row r="570" spans="10:11" ht="16" x14ac:dyDescent="0.2">
      <c r="J570" s="3"/>
      <c r="K570" s="5"/>
    </row>
    <row r="571" spans="10:11" ht="16" x14ac:dyDescent="0.2">
      <c r="J571" s="3"/>
      <c r="K571" s="5"/>
    </row>
    <row r="572" spans="10:11" ht="16" x14ac:dyDescent="0.2">
      <c r="J572" s="3"/>
      <c r="K572" s="5"/>
    </row>
    <row r="573" spans="10:11" ht="16" x14ac:dyDescent="0.2">
      <c r="J573" s="3"/>
      <c r="K573" s="5"/>
    </row>
    <row r="574" spans="10:11" ht="16" x14ac:dyDescent="0.2">
      <c r="J574" s="3"/>
      <c r="K574" s="5"/>
    </row>
    <row r="575" spans="10:11" ht="16" x14ac:dyDescent="0.2">
      <c r="J575" s="3"/>
      <c r="K575" s="5"/>
    </row>
    <row r="576" spans="10:11" ht="16" x14ac:dyDescent="0.2">
      <c r="J576" s="3"/>
      <c r="K576" s="5"/>
    </row>
    <row r="577" spans="10:11" ht="16" x14ac:dyDescent="0.2">
      <c r="J577" s="3"/>
      <c r="K577" s="5"/>
    </row>
    <row r="578" spans="10:11" ht="16" x14ac:dyDescent="0.2">
      <c r="J578" s="3"/>
      <c r="K578" s="5"/>
    </row>
    <row r="579" spans="10:11" ht="16" x14ac:dyDescent="0.2">
      <c r="J579" s="3"/>
      <c r="K579" s="5"/>
    </row>
    <row r="580" spans="10:11" ht="16" x14ac:dyDescent="0.2">
      <c r="J580" s="3"/>
      <c r="K580" s="5"/>
    </row>
    <row r="581" spans="10:11" ht="16" x14ac:dyDescent="0.2">
      <c r="J581" s="3"/>
      <c r="K581" s="5"/>
    </row>
    <row r="582" spans="10:11" ht="16" x14ac:dyDescent="0.2">
      <c r="J582" s="3"/>
      <c r="K582" s="5"/>
    </row>
    <row r="583" spans="10:11" ht="16" x14ac:dyDescent="0.2">
      <c r="J583" s="3"/>
      <c r="K583" s="5"/>
    </row>
    <row r="584" spans="10:11" ht="16" x14ac:dyDescent="0.2">
      <c r="J584" s="3"/>
      <c r="K584" s="5"/>
    </row>
    <row r="585" spans="10:11" ht="16" x14ac:dyDescent="0.2">
      <c r="J585" s="3"/>
      <c r="K585" s="5"/>
    </row>
    <row r="586" spans="10:11" ht="16" x14ac:dyDescent="0.2">
      <c r="J586" s="3"/>
      <c r="K586" s="5"/>
    </row>
    <row r="587" spans="10:11" ht="16" x14ac:dyDescent="0.2">
      <c r="J587" s="3"/>
      <c r="K587" s="5"/>
    </row>
    <row r="588" spans="10:11" ht="16" x14ac:dyDescent="0.2">
      <c r="J588" s="3"/>
      <c r="K588" s="5"/>
    </row>
    <row r="589" spans="10:11" ht="16" x14ac:dyDescent="0.2">
      <c r="J589" s="3"/>
      <c r="K589" s="5"/>
    </row>
    <row r="590" spans="10:11" ht="16" x14ac:dyDescent="0.2">
      <c r="J590" s="3"/>
      <c r="K590" s="5"/>
    </row>
    <row r="591" spans="10:11" ht="16" x14ac:dyDescent="0.2">
      <c r="J591" s="3"/>
      <c r="K591" s="5"/>
    </row>
    <row r="592" spans="10:11" ht="16" x14ac:dyDescent="0.2">
      <c r="J592" s="3"/>
      <c r="K592" s="5"/>
    </row>
    <row r="593" spans="10:11" ht="16" x14ac:dyDescent="0.2">
      <c r="J593" s="3"/>
      <c r="K593" s="5"/>
    </row>
    <row r="594" spans="10:11" ht="16" x14ac:dyDescent="0.2">
      <c r="J594" s="3"/>
      <c r="K594" s="5"/>
    </row>
    <row r="595" spans="10:11" ht="16" x14ac:dyDescent="0.2">
      <c r="J595" s="3"/>
      <c r="K595" s="5"/>
    </row>
    <row r="596" spans="10:11" ht="16" x14ac:dyDescent="0.2">
      <c r="J596" s="3"/>
      <c r="K596" s="5"/>
    </row>
    <row r="597" spans="10:11" ht="16" x14ac:dyDescent="0.2">
      <c r="J597" s="3"/>
      <c r="K597" s="5"/>
    </row>
    <row r="598" spans="10:11" ht="16" x14ac:dyDescent="0.2">
      <c r="J598" s="3"/>
      <c r="K598" s="5"/>
    </row>
    <row r="599" spans="10:11" ht="16" x14ac:dyDescent="0.2">
      <c r="J599" s="3"/>
      <c r="K599" s="5"/>
    </row>
    <row r="600" spans="10:11" ht="16" x14ac:dyDescent="0.2">
      <c r="J600" s="3"/>
      <c r="K600" s="5"/>
    </row>
    <row r="601" spans="10:11" ht="16" x14ac:dyDescent="0.2">
      <c r="J601" s="3"/>
      <c r="K601" s="5"/>
    </row>
    <row r="602" spans="10:11" ht="16" x14ac:dyDescent="0.2">
      <c r="J602" s="3"/>
      <c r="K602" s="5"/>
    </row>
    <row r="603" spans="10:11" ht="16" x14ac:dyDescent="0.2">
      <c r="J603" s="3"/>
      <c r="K603" s="5"/>
    </row>
    <row r="604" spans="10:11" ht="16" x14ac:dyDescent="0.2">
      <c r="J604" s="3"/>
      <c r="K604" s="5"/>
    </row>
    <row r="605" spans="10:11" ht="16" x14ac:dyDescent="0.2">
      <c r="J605" s="3"/>
      <c r="K605" s="5"/>
    </row>
    <row r="606" spans="10:11" ht="16" x14ac:dyDescent="0.2">
      <c r="J606" s="3"/>
      <c r="K606" s="5"/>
    </row>
    <row r="607" spans="10:11" ht="16" x14ac:dyDescent="0.2">
      <c r="J607" s="3"/>
      <c r="K607" s="5"/>
    </row>
    <row r="608" spans="10:11" ht="16" x14ac:dyDescent="0.2">
      <c r="J608" s="3"/>
      <c r="K608" s="5"/>
    </row>
    <row r="609" spans="10:11" ht="16" x14ac:dyDescent="0.2">
      <c r="J609" s="3"/>
      <c r="K609" s="5"/>
    </row>
    <row r="610" spans="10:11" ht="16" x14ac:dyDescent="0.2">
      <c r="J610" s="3"/>
      <c r="K610" s="5"/>
    </row>
    <row r="611" spans="10:11" ht="16" x14ac:dyDescent="0.2">
      <c r="J611" s="3"/>
      <c r="K611" s="5"/>
    </row>
    <row r="612" spans="10:11" ht="16" x14ac:dyDescent="0.2">
      <c r="J612" s="3"/>
      <c r="K612" s="5"/>
    </row>
    <row r="613" spans="10:11" ht="16" x14ac:dyDescent="0.2">
      <c r="J613" s="3"/>
      <c r="K613" s="5"/>
    </row>
    <row r="614" spans="10:11" ht="16" x14ac:dyDescent="0.2">
      <c r="J614" s="3"/>
      <c r="K614" s="5"/>
    </row>
    <row r="615" spans="10:11" ht="16" x14ac:dyDescent="0.2">
      <c r="J615" s="3"/>
      <c r="K615" s="5"/>
    </row>
    <row r="616" spans="10:11" ht="16" x14ac:dyDescent="0.2">
      <c r="J616" s="3"/>
      <c r="K616" s="5"/>
    </row>
    <row r="617" spans="10:11" ht="16" x14ac:dyDescent="0.2">
      <c r="J617" s="3"/>
      <c r="K617" s="5"/>
    </row>
    <row r="618" spans="10:11" ht="16" x14ac:dyDescent="0.2">
      <c r="J618" s="3"/>
      <c r="K618" s="5"/>
    </row>
    <row r="619" spans="10:11" ht="16" x14ac:dyDescent="0.2">
      <c r="J619" s="3"/>
      <c r="K619" s="5"/>
    </row>
    <row r="620" spans="10:11" ht="16" x14ac:dyDescent="0.2">
      <c r="J620" s="3"/>
      <c r="K620" s="5"/>
    </row>
    <row r="621" spans="10:11" ht="16" x14ac:dyDescent="0.2">
      <c r="J621" s="3"/>
      <c r="K621" s="5"/>
    </row>
    <row r="622" spans="10:11" ht="16" x14ac:dyDescent="0.2">
      <c r="J622" s="3"/>
      <c r="K622" s="5"/>
    </row>
    <row r="623" spans="10:11" ht="16" x14ac:dyDescent="0.2">
      <c r="J623" s="3"/>
      <c r="K623" s="5"/>
    </row>
    <row r="624" spans="10:11" ht="16" x14ac:dyDescent="0.2">
      <c r="J624" s="3"/>
      <c r="K624" s="5"/>
    </row>
    <row r="625" spans="10:11" ht="16" x14ac:dyDescent="0.2">
      <c r="J625" s="3"/>
      <c r="K625" s="5"/>
    </row>
    <row r="626" spans="10:11" ht="16" x14ac:dyDescent="0.2">
      <c r="J626" s="3"/>
      <c r="K626" s="5"/>
    </row>
    <row r="627" spans="10:11" ht="16" x14ac:dyDescent="0.2">
      <c r="J627" s="3"/>
      <c r="K627" s="5"/>
    </row>
    <row r="628" spans="10:11" ht="16" x14ac:dyDescent="0.2">
      <c r="J628" s="3"/>
      <c r="K628" s="5"/>
    </row>
    <row r="629" spans="10:11" ht="16" x14ac:dyDescent="0.2">
      <c r="J629" s="3"/>
      <c r="K629" s="5"/>
    </row>
    <row r="630" spans="10:11" ht="16" x14ac:dyDescent="0.2">
      <c r="J630" s="3"/>
      <c r="K630" s="5"/>
    </row>
    <row r="631" spans="10:11" ht="16" x14ac:dyDescent="0.2">
      <c r="J631" s="3"/>
      <c r="K631" s="5"/>
    </row>
    <row r="632" spans="10:11" ht="16" x14ac:dyDescent="0.2">
      <c r="J632" s="3"/>
      <c r="K632" s="5"/>
    </row>
    <row r="633" spans="10:11" ht="16" x14ac:dyDescent="0.2">
      <c r="J633" s="3"/>
      <c r="K633" s="5"/>
    </row>
    <row r="634" spans="10:11" ht="16" x14ac:dyDescent="0.2">
      <c r="J634" s="3"/>
      <c r="K634" s="5"/>
    </row>
    <row r="635" spans="10:11" ht="16" x14ac:dyDescent="0.2">
      <c r="J635" s="3"/>
      <c r="K635" s="5"/>
    </row>
    <row r="636" spans="10:11" ht="16" x14ac:dyDescent="0.2">
      <c r="J636" s="3"/>
      <c r="K636" s="5"/>
    </row>
    <row r="637" spans="10:11" ht="16" x14ac:dyDescent="0.2">
      <c r="J637" s="3"/>
      <c r="K637" s="5"/>
    </row>
    <row r="638" spans="10:11" ht="16" x14ac:dyDescent="0.2">
      <c r="J638" s="3"/>
      <c r="K638" s="5"/>
    </row>
    <row r="639" spans="10:11" ht="16" x14ac:dyDescent="0.2">
      <c r="J639" s="3"/>
      <c r="K639" s="5"/>
    </row>
    <row r="640" spans="10:11" ht="16" x14ac:dyDescent="0.2">
      <c r="J640" s="3"/>
      <c r="K640" s="5"/>
    </row>
    <row r="641" spans="10:11" ht="16" x14ac:dyDescent="0.2">
      <c r="J641" s="3"/>
      <c r="K641" s="5"/>
    </row>
    <row r="642" spans="10:11" ht="16" x14ac:dyDescent="0.2">
      <c r="J642" s="3"/>
      <c r="K642" s="5"/>
    </row>
    <row r="643" spans="10:11" ht="16" x14ac:dyDescent="0.2">
      <c r="J643" s="3"/>
      <c r="K643" s="5"/>
    </row>
    <row r="644" spans="10:11" ht="16" x14ac:dyDescent="0.2">
      <c r="J644" s="3"/>
      <c r="K644" s="5"/>
    </row>
    <row r="645" spans="10:11" ht="16" x14ac:dyDescent="0.2">
      <c r="J645" s="3"/>
      <c r="K645" s="5"/>
    </row>
    <row r="646" spans="10:11" ht="16" x14ac:dyDescent="0.2">
      <c r="J646" s="3"/>
      <c r="K646" s="5"/>
    </row>
    <row r="647" spans="10:11" ht="16" x14ac:dyDescent="0.2">
      <c r="J647" s="3"/>
      <c r="K647" s="5"/>
    </row>
    <row r="648" spans="10:11" ht="16" x14ac:dyDescent="0.2">
      <c r="J648" s="3"/>
      <c r="K648" s="5"/>
    </row>
    <row r="649" spans="10:11" ht="16" x14ac:dyDescent="0.2">
      <c r="J649" s="3"/>
      <c r="K649" s="5"/>
    </row>
    <row r="650" spans="10:11" ht="16" x14ac:dyDescent="0.2">
      <c r="J650" s="3"/>
      <c r="K650" s="5"/>
    </row>
    <row r="651" spans="10:11" ht="16" x14ac:dyDescent="0.2">
      <c r="J651" s="3"/>
      <c r="K651" s="5"/>
    </row>
    <row r="652" spans="10:11" ht="16" x14ac:dyDescent="0.2">
      <c r="J652" s="3"/>
      <c r="K652" s="5"/>
    </row>
    <row r="653" spans="10:11" ht="16" x14ac:dyDescent="0.2">
      <c r="J653" s="3"/>
      <c r="K653" s="5"/>
    </row>
    <row r="654" spans="10:11" ht="16" x14ac:dyDescent="0.2">
      <c r="J654" s="3"/>
      <c r="K654" s="5"/>
    </row>
    <row r="655" spans="10:11" ht="16" x14ac:dyDescent="0.2">
      <c r="J655" s="3"/>
      <c r="K655" s="5"/>
    </row>
    <row r="656" spans="10:11" ht="16" x14ac:dyDescent="0.2">
      <c r="J656" s="3"/>
      <c r="K656" s="5"/>
    </row>
    <row r="657" spans="10:11" ht="16" x14ac:dyDescent="0.2">
      <c r="J657" s="3"/>
      <c r="K657" s="5"/>
    </row>
    <row r="658" spans="10:11" ht="16" x14ac:dyDescent="0.2">
      <c r="J658" s="3"/>
      <c r="K658" s="5"/>
    </row>
    <row r="659" spans="10:11" ht="16" x14ac:dyDescent="0.2">
      <c r="J659" s="3"/>
      <c r="K659" s="5"/>
    </row>
    <row r="660" spans="10:11" ht="16" x14ac:dyDescent="0.2">
      <c r="J660" s="3"/>
      <c r="K660" s="5"/>
    </row>
    <row r="661" spans="10:11" ht="16" x14ac:dyDescent="0.2">
      <c r="J661" s="3"/>
      <c r="K661" s="5"/>
    </row>
    <row r="662" spans="10:11" ht="16" x14ac:dyDescent="0.2">
      <c r="J662" s="3"/>
      <c r="K662" s="5"/>
    </row>
    <row r="663" spans="10:11" ht="16" x14ac:dyDescent="0.2">
      <c r="J663" s="3"/>
      <c r="K663" s="5"/>
    </row>
    <row r="664" spans="10:11" ht="16" x14ac:dyDescent="0.2">
      <c r="J664" s="3"/>
      <c r="K664" s="5"/>
    </row>
    <row r="665" spans="10:11" ht="16" x14ac:dyDescent="0.2">
      <c r="J665" s="3"/>
      <c r="K665" s="5"/>
    </row>
    <row r="666" spans="10:11" ht="16" x14ac:dyDescent="0.2">
      <c r="J666" s="3"/>
      <c r="K666" s="5"/>
    </row>
    <row r="667" spans="10:11" ht="16" x14ac:dyDescent="0.2">
      <c r="J667" s="3"/>
      <c r="K667" s="5"/>
    </row>
    <row r="668" spans="10:11" ht="16" x14ac:dyDescent="0.2">
      <c r="J668" s="3"/>
      <c r="K668" s="5"/>
    </row>
    <row r="669" spans="10:11" ht="16" x14ac:dyDescent="0.2">
      <c r="J669" s="3"/>
      <c r="K669" s="5"/>
    </row>
    <row r="670" spans="10:11" ht="16" x14ac:dyDescent="0.2">
      <c r="J670" s="3"/>
      <c r="K670" s="5"/>
    </row>
    <row r="671" spans="10:11" ht="16" x14ac:dyDescent="0.2">
      <c r="J671" s="3"/>
      <c r="K671" s="5"/>
    </row>
    <row r="672" spans="10:11" ht="16" x14ac:dyDescent="0.2">
      <c r="J672" s="3"/>
      <c r="K672" s="5"/>
    </row>
    <row r="673" spans="10:11" ht="16" x14ac:dyDescent="0.2">
      <c r="J673" s="3"/>
      <c r="K673" s="5"/>
    </row>
    <row r="674" spans="10:11" ht="16" x14ac:dyDescent="0.2">
      <c r="J674" s="3"/>
      <c r="K674" s="5"/>
    </row>
    <row r="675" spans="10:11" ht="16" x14ac:dyDescent="0.2">
      <c r="J675" s="3"/>
      <c r="K675" s="5"/>
    </row>
    <row r="676" spans="10:11" ht="16" x14ac:dyDescent="0.2">
      <c r="J676" s="3"/>
      <c r="K676" s="5"/>
    </row>
    <row r="677" spans="10:11" ht="16" x14ac:dyDescent="0.2">
      <c r="J677" s="3"/>
      <c r="K677" s="5"/>
    </row>
    <row r="678" spans="10:11" ht="16" x14ac:dyDescent="0.2">
      <c r="J678" s="3"/>
      <c r="K678" s="5"/>
    </row>
    <row r="679" spans="10:11" ht="16" x14ac:dyDescent="0.2">
      <c r="J679" s="3"/>
      <c r="K679" s="5"/>
    </row>
    <row r="680" spans="10:11" ht="16" x14ac:dyDescent="0.2">
      <c r="J680" s="3"/>
      <c r="K680" s="5"/>
    </row>
    <row r="681" spans="10:11" ht="16" x14ac:dyDescent="0.2">
      <c r="J681" s="3"/>
      <c r="K681" s="5"/>
    </row>
    <row r="682" spans="10:11" ht="16" x14ac:dyDescent="0.2">
      <c r="J682" s="3"/>
      <c r="K682" s="5"/>
    </row>
    <row r="683" spans="10:11" ht="16" x14ac:dyDescent="0.2">
      <c r="J683" s="3"/>
      <c r="K683" s="5"/>
    </row>
    <row r="684" spans="10:11" ht="16" x14ac:dyDescent="0.2">
      <c r="J684" s="3"/>
      <c r="K684" s="5"/>
    </row>
    <row r="685" spans="10:11" ht="16" x14ac:dyDescent="0.2">
      <c r="J685" s="3"/>
      <c r="K685" s="5"/>
    </row>
    <row r="686" spans="10:11" ht="16" x14ac:dyDescent="0.2">
      <c r="J686" s="3"/>
      <c r="K686" s="5"/>
    </row>
    <row r="687" spans="10:11" ht="16" x14ac:dyDescent="0.2">
      <c r="J687" s="3"/>
      <c r="K687" s="5"/>
    </row>
    <row r="688" spans="10:11" ht="16" x14ac:dyDescent="0.2">
      <c r="J688" s="3"/>
      <c r="K688" s="5"/>
    </row>
    <row r="689" spans="10:11" ht="16" x14ac:dyDescent="0.2">
      <c r="J689" s="3"/>
      <c r="K689" s="5"/>
    </row>
    <row r="690" spans="10:11" ht="16" x14ac:dyDescent="0.2">
      <c r="J690" s="3"/>
      <c r="K690" s="5"/>
    </row>
    <row r="691" spans="10:11" ht="16" x14ac:dyDescent="0.2">
      <c r="J691" s="3"/>
      <c r="K691" s="5"/>
    </row>
    <row r="692" spans="10:11" ht="16" x14ac:dyDescent="0.2">
      <c r="J692" s="3"/>
      <c r="K692" s="5"/>
    </row>
    <row r="693" spans="10:11" ht="16" x14ac:dyDescent="0.2">
      <c r="J693" s="3"/>
      <c r="K693" s="5"/>
    </row>
    <row r="694" spans="10:11" ht="16" x14ac:dyDescent="0.2">
      <c r="J694" s="3"/>
      <c r="K694" s="5"/>
    </row>
    <row r="695" spans="10:11" ht="16" x14ac:dyDescent="0.2">
      <c r="J695" s="3"/>
      <c r="K695" s="5"/>
    </row>
    <row r="696" spans="10:11" ht="16" x14ac:dyDescent="0.2">
      <c r="J696" s="3"/>
      <c r="K696" s="5"/>
    </row>
    <row r="697" spans="10:11" ht="16" x14ac:dyDescent="0.2">
      <c r="J697" s="3"/>
      <c r="K697" s="5"/>
    </row>
    <row r="698" spans="10:11" ht="16" x14ac:dyDescent="0.2">
      <c r="J698" s="3"/>
      <c r="K698" s="5"/>
    </row>
    <row r="699" spans="10:11" ht="16" x14ac:dyDescent="0.2">
      <c r="J699" s="3"/>
      <c r="K699" s="5"/>
    </row>
    <row r="700" spans="10:11" ht="16" x14ac:dyDescent="0.2">
      <c r="J700" s="3"/>
      <c r="K700" s="5"/>
    </row>
    <row r="701" spans="10:11" ht="16" x14ac:dyDescent="0.2">
      <c r="J701" s="3"/>
      <c r="K701" s="5"/>
    </row>
    <row r="702" spans="10:11" ht="16" x14ac:dyDescent="0.2">
      <c r="J702" s="3"/>
      <c r="K702" s="5"/>
    </row>
    <row r="703" spans="10:11" ht="16" x14ac:dyDescent="0.2">
      <c r="J703" s="3"/>
      <c r="K703" s="5"/>
    </row>
    <row r="704" spans="10:11" ht="16" x14ac:dyDescent="0.2">
      <c r="J704" s="3"/>
      <c r="K704" s="5"/>
    </row>
    <row r="705" spans="10:11" ht="16" x14ac:dyDescent="0.2">
      <c r="J705" s="3"/>
      <c r="K705" s="5"/>
    </row>
    <row r="706" spans="10:11" ht="16" x14ac:dyDescent="0.2">
      <c r="J706" s="3"/>
      <c r="K706" s="5"/>
    </row>
    <row r="707" spans="10:11" ht="16" x14ac:dyDescent="0.2">
      <c r="J707" s="3"/>
      <c r="K707" s="5"/>
    </row>
    <row r="708" spans="10:11" ht="16" x14ac:dyDescent="0.2">
      <c r="J708" s="3"/>
      <c r="K708" s="5"/>
    </row>
    <row r="709" spans="10:11" ht="16" x14ac:dyDescent="0.2">
      <c r="J709" s="3"/>
      <c r="K709" s="5"/>
    </row>
    <row r="710" spans="10:11" ht="16" x14ac:dyDescent="0.2">
      <c r="J710" s="3"/>
      <c r="K710" s="5"/>
    </row>
    <row r="711" spans="10:11" ht="16" x14ac:dyDescent="0.2">
      <c r="J711" s="3"/>
      <c r="K711" s="5"/>
    </row>
    <row r="712" spans="10:11" ht="16" x14ac:dyDescent="0.2">
      <c r="J712" s="3"/>
      <c r="K712" s="5"/>
    </row>
    <row r="713" spans="10:11" ht="16" x14ac:dyDescent="0.2">
      <c r="J713" s="3"/>
      <c r="K713" s="5"/>
    </row>
    <row r="714" spans="10:11" ht="16" x14ac:dyDescent="0.2">
      <c r="J714" s="3"/>
      <c r="K714" s="5"/>
    </row>
    <row r="715" spans="10:11" ht="16" x14ac:dyDescent="0.2">
      <c r="J715" s="3"/>
      <c r="K715" s="5"/>
    </row>
    <row r="716" spans="10:11" ht="16" x14ac:dyDescent="0.2">
      <c r="J716" s="3"/>
      <c r="K716" s="5"/>
    </row>
    <row r="717" spans="10:11" ht="16" x14ac:dyDescent="0.2">
      <c r="J717" s="3"/>
      <c r="K717" s="5"/>
    </row>
    <row r="718" spans="10:11" ht="16" x14ac:dyDescent="0.2">
      <c r="J718" s="3"/>
      <c r="K718" s="5"/>
    </row>
    <row r="719" spans="10:11" ht="16" x14ac:dyDescent="0.2">
      <c r="J719" s="3"/>
      <c r="K719" s="5"/>
    </row>
    <row r="720" spans="10:11" ht="16" x14ac:dyDescent="0.2">
      <c r="J720" s="3"/>
      <c r="K720" s="5"/>
    </row>
    <row r="721" spans="10:11" ht="16" x14ac:dyDescent="0.2">
      <c r="J721" s="3"/>
      <c r="K721" s="5"/>
    </row>
    <row r="722" spans="10:11" ht="16" x14ac:dyDescent="0.2">
      <c r="J722" s="3"/>
      <c r="K722" s="5"/>
    </row>
    <row r="723" spans="10:11" ht="16" x14ac:dyDescent="0.2">
      <c r="J723" s="3"/>
      <c r="K723" s="5"/>
    </row>
    <row r="724" spans="10:11" ht="16" x14ac:dyDescent="0.2">
      <c r="J724" s="3"/>
      <c r="K724" s="5"/>
    </row>
    <row r="725" spans="10:11" ht="16" x14ac:dyDescent="0.2">
      <c r="J725" s="3"/>
      <c r="K725" s="5"/>
    </row>
    <row r="726" spans="10:11" ht="16" x14ac:dyDescent="0.2">
      <c r="J726" s="3"/>
      <c r="K726" s="5"/>
    </row>
    <row r="727" spans="10:11" ht="16" x14ac:dyDescent="0.2">
      <c r="J727" s="3"/>
      <c r="K727" s="5"/>
    </row>
    <row r="728" spans="10:11" ht="16" x14ac:dyDescent="0.2">
      <c r="J728" s="3"/>
      <c r="K728" s="5"/>
    </row>
    <row r="729" spans="10:11" ht="16" x14ac:dyDescent="0.2">
      <c r="J729" s="3"/>
      <c r="K729" s="5"/>
    </row>
    <row r="730" spans="10:11" ht="16" x14ac:dyDescent="0.2">
      <c r="J730" s="3"/>
      <c r="K730" s="5"/>
    </row>
    <row r="731" spans="10:11" ht="16" x14ac:dyDescent="0.2">
      <c r="J731" s="3"/>
      <c r="K731" s="5"/>
    </row>
    <row r="732" spans="10:11" ht="16" x14ac:dyDescent="0.2">
      <c r="J732" s="3"/>
      <c r="K732" s="5"/>
    </row>
    <row r="733" spans="10:11" ht="16" x14ac:dyDescent="0.2">
      <c r="J733" s="3"/>
      <c r="K733" s="5"/>
    </row>
    <row r="734" spans="10:11" ht="16" x14ac:dyDescent="0.2">
      <c r="J734" s="3"/>
      <c r="K734" s="5"/>
    </row>
    <row r="735" spans="10:11" ht="16" x14ac:dyDescent="0.2">
      <c r="J735" s="3"/>
      <c r="K735" s="5"/>
    </row>
    <row r="736" spans="10:11" ht="16" x14ac:dyDescent="0.2">
      <c r="J736" s="3"/>
      <c r="K736" s="5"/>
    </row>
    <row r="737" spans="10:11" ht="16" x14ac:dyDescent="0.2">
      <c r="J737" s="3"/>
      <c r="K737" s="5"/>
    </row>
    <row r="738" spans="10:11" ht="16" x14ac:dyDescent="0.2">
      <c r="J738" s="3"/>
      <c r="K738" s="5"/>
    </row>
    <row r="739" spans="10:11" ht="16" x14ac:dyDescent="0.2">
      <c r="J739" s="3"/>
      <c r="K739" s="5"/>
    </row>
    <row r="740" spans="10:11" ht="16" x14ac:dyDescent="0.2">
      <c r="J740" s="3"/>
      <c r="K740" s="5"/>
    </row>
    <row r="741" spans="10:11" ht="16" x14ac:dyDescent="0.2">
      <c r="J741" s="3"/>
      <c r="K741" s="5"/>
    </row>
    <row r="742" spans="10:11" ht="16" x14ac:dyDescent="0.2">
      <c r="J742" s="3"/>
      <c r="K742" s="5"/>
    </row>
    <row r="743" spans="10:11" ht="16" x14ac:dyDescent="0.2">
      <c r="J743" s="3"/>
      <c r="K743" s="5"/>
    </row>
    <row r="744" spans="10:11" ht="16" x14ac:dyDescent="0.2">
      <c r="J744" s="3"/>
      <c r="K744" s="5"/>
    </row>
    <row r="745" spans="10:11" ht="16" x14ac:dyDescent="0.2">
      <c r="J745" s="3"/>
      <c r="K745" s="5"/>
    </row>
    <row r="746" spans="10:11" ht="16" x14ac:dyDescent="0.2">
      <c r="J746" s="3"/>
      <c r="K746" s="5"/>
    </row>
    <row r="747" spans="10:11" ht="16" x14ac:dyDescent="0.2">
      <c r="J747" s="3"/>
      <c r="K747" s="5"/>
    </row>
    <row r="748" spans="10:11" ht="16" x14ac:dyDescent="0.2">
      <c r="J748" s="3"/>
      <c r="K748" s="5"/>
    </row>
    <row r="749" spans="10:11" ht="16" x14ac:dyDescent="0.2">
      <c r="J749" s="3"/>
      <c r="K749" s="5"/>
    </row>
    <row r="750" spans="10:11" ht="16" x14ac:dyDescent="0.2">
      <c r="J750" s="3"/>
      <c r="K750" s="5"/>
    </row>
    <row r="751" spans="10:11" ht="16" x14ac:dyDescent="0.2">
      <c r="J751" s="3"/>
      <c r="K751" s="5"/>
    </row>
    <row r="752" spans="10:11" ht="16" x14ac:dyDescent="0.2">
      <c r="J752" s="3"/>
      <c r="K752" s="5"/>
    </row>
    <row r="753" spans="10:11" ht="16" x14ac:dyDescent="0.2">
      <c r="J753" s="3"/>
      <c r="K753" s="5"/>
    </row>
    <row r="754" spans="10:11" ht="16" x14ac:dyDescent="0.2">
      <c r="J754" s="3"/>
      <c r="K754" s="5"/>
    </row>
    <row r="755" spans="10:11" ht="16" x14ac:dyDescent="0.2">
      <c r="J755" s="3"/>
      <c r="K755" s="5"/>
    </row>
    <row r="756" spans="10:11" ht="16" x14ac:dyDescent="0.2">
      <c r="J756" s="3"/>
      <c r="K756" s="5"/>
    </row>
    <row r="757" spans="10:11" ht="16" x14ac:dyDescent="0.2">
      <c r="J757" s="3"/>
      <c r="K757" s="5"/>
    </row>
    <row r="758" spans="10:11" ht="16" x14ac:dyDescent="0.2">
      <c r="J758" s="3"/>
      <c r="K758" s="5"/>
    </row>
    <row r="759" spans="10:11" ht="16" x14ac:dyDescent="0.2">
      <c r="J759" s="3"/>
      <c r="K759" s="5"/>
    </row>
    <row r="760" spans="10:11" ht="16" x14ac:dyDescent="0.2">
      <c r="J760" s="3"/>
      <c r="K760" s="5"/>
    </row>
    <row r="761" spans="10:11" ht="16" x14ac:dyDescent="0.2">
      <c r="J761" s="3"/>
      <c r="K761" s="5"/>
    </row>
    <row r="762" spans="10:11" ht="16" x14ac:dyDescent="0.2">
      <c r="J762" s="3"/>
      <c r="K762" s="5"/>
    </row>
    <row r="763" spans="10:11" ht="16" x14ac:dyDescent="0.2">
      <c r="J763" s="3"/>
      <c r="K763" s="5"/>
    </row>
    <row r="764" spans="10:11" ht="16" x14ac:dyDescent="0.2">
      <c r="J764" s="3"/>
      <c r="K764" s="5"/>
    </row>
    <row r="765" spans="10:11" ht="16" x14ac:dyDescent="0.2">
      <c r="J765" s="3"/>
      <c r="K765" s="5"/>
    </row>
    <row r="766" spans="10:11" ht="16" x14ac:dyDescent="0.2">
      <c r="J766" s="3"/>
      <c r="K766" s="5"/>
    </row>
    <row r="767" spans="10:11" ht="16" x14ac:dyDescent="0.2">
      <c r="J767" s="3"/>
      <c r="K767" s="5"/>
    </row>
    <row r="768" spans="10:11" ht="16" x14ac:dyDescent="0.2">
      <c r="J768" s="3"/>
      <c r="K768" s="5"/>
    </row>
    <row r="769" spans="10:11" ht="16" x14ac:dyDescent="0.2">
      <c r="J769" s="3"/>
      <c r="K769" s="5"/>
    </row>
    <row r="770" spans="10:11" ht="16" x14ac:dyDescent="0.2">
      <c r="J770" s="3"/>
      <c r="K770" s="5"/>
    </row>
    <row r="771" spans="10:11" ht="16" x14ac:dyDescent="0.2">
      <c r="J771" s="3"/>
      <c r="K771" s="5"/>
    </row>
    <row r="772" spans="10:11" ht="16" x14ac:dyDescent="0.2">
      <c r="J772" s="3"/>
      <c r="K772" s="5"/>
    </row>
    <row r="773" spans="10:11" ht="16" x14ac:dyDescent="0.2">
      <c r="J773" s="3"/>
      <c r="K773" s="5"/>
    </row>
    <row r="774" spans="10:11" ht="16" x14ac:dyDescent="0.2">
      <c r="J774" s="3"/>
      <c r="K774" s="5"/>
    </row>
    <row r="775" spans="10:11" ht="16" x14ac:dyDescent="0.2">
      <c r="J775" s="3"/>
      <c r="K775" s="5"/>
    </row>
    <row r="776" spans="10:11" ht="16" x14ac:dyDescent="0.2">
      <c r="J776" s="3"/>
      <c r="K776" s="5"/>
    </row>
    <row r="777" spans="10:11" ht="16" x14ac:dyDescent="0.2">
      <c r="J777" s="3"/>
      <c r="K777" s="5"/>
    </row>
    <row r="778" spans="10:11" ht="16" x14ac:dyDescent="0.2">
      <c r="J778" s="3"/>
      <c r="K778" s="5"/>
    </row>
    <row r="779" spans="10:11" ht="16" x14ac:dyDescent="0.2">
      <c r="J779" s="3"/>
      <c r="K779" s="5"/>
    </row>
    <row r="780" spans="10:11" ht="16" x14ac:dyDescent="0.2">
      <c r="J780" s="3"/>
      <c r="K780" s="5"/>
    </row>
    <row r="781" spans="10:11" ht="16" x14ac:dyDescent="0.2">
      <c r="J781" s="3"/>
      <c r="K781" s="5"/>
    </row>
    <row r="782" spans="10:11" ht="16" x14ac:dyDescent="0.2">
      <c r="J782" s="3"/>
      <c r="K782" s="5"/>
    </row>
    <row r="783" spans="10:11" ht="16" x14ac:dyDescent="0.2">
      <c r="J783" s="3"/>
      <c r="K783" s="5"/>
    </row>
    <row r="784" spans="10:11" ht="16" x14ac:dyDescent="0.2">
      <c r="J784" s="3"/>
      <c r="K784" s="5"/>
    </row>
    <row r="785" spans="10:11" ht="16" x14ac:dyDescent="0.2">
      <c r="J785" s="3"/>
      <c r="K785" s="5"/>
    </row>
    <row r="786" spans="10:11" ht="16" x14ac:dyDescent="0.2">
      <c r="J786" s="3"/>
      <c r="K786" s="5"/>
    </row>
    <row r="787" spans="10:11" ht="16" x14ac:dyDescent="0.2">
      <c r="J787" s="3"/>
      <c r="K787" s="5"/>
    </row>
    <row r="788" spans="10:11" ht="16" x14ac:dyDescent="0.2">
      <c r="J788" s="3"/>
      <c r="K788" s="5"/>
    </row>
    <row r="789" spans="10:11" ht="16" x14ac:dyDescent="0.2">
      <c r="J789" s="3"/>
      <c r="K789" s="5"/>
    </row>
    <row r="790" spans="10:11" ht="16" x14ac:dyDescent="0.2">
      <c r="J790" s="3"/>
      <c r="K790" s="5"/>
    </row>
    <row r="791" spans="10:11" ht="16" x14ac:dyDescent="0.2">
      <c r="J791" s="3"/>
      <c r="K791" s="5"/>
    </row>
    <row r="792" spans="10:11" ht="16" x14ac:dyDescent="0.2">
      <c r="J792" s="3"/>
      <c r="K792" s="5"/>
    </row>
    <row r="793" spans="10:11" ht="16" x14ac:dyDescent="0.2">
      <c r="J793" s="3"/>
      <c r="K793" s="5"/>
    </row>
    <row r="794" spans="10:11" ht="16" x14ac:dyDescent="0.2">
      <c r="J794" s="3"/>
      <c r="K794" s="5"/>
    </row>
    <row r="795" spans="10:11" ht="16" x14ac:dyDescent="0.2">
      <c r="J795" s="3"/>
      <c r="K795" s="5"/>
    </row>
    <row r="796" spans="10:11" ht="16" x14ac:dyDescent="0.2">
      <c r="J796" s="3"/>
      <c r="K796" s="5"/>
    </row>
    <row r="797" spans="10:11" ht="16" x14ac:dyDescent="0.2">
      <c r="J797" s="3"/>
      <c r="K797" s="5"/>
    </row>
    <row r="798" spans="10:11" ht="16" x14ac:dyDescent="0.2">
      <c r="J798" s="3"/>
      <c r="K798" s="5"/>
    </row>
    <row r="799" spans="10:11" ht="16" x14ac:dyDescent="0.2">
      <c r="J799" s="3"/>
      <c r="K799" s="5"/>
    </row>
    <row r="800" spans="10:11" ht="16" x14ac:dyDescent="0.2">
      <c r="J800" s="3"/>
      <c r="K800" s="5"/>
    </row>
    <row r="801" spans="10:11" ht="16" x14ac:dyDescent="0.2">
      <c r="J801" s="3"/>
      <c r="K801" s="5"/>
    </row>
    <row r="802" spans="10:11" ht="16" x14ac:dyDescent="0.2">
      <c r="J802" s="3"/>
      <c r="K802" s="5"/>
    </row>
    <row r="803" spans="10:11" ht="16" x14ac:dyDescent="0.2">
      <c r="J803" s="3"/>
      <c r="K803" s="5"/>
    </row>
    <row r="804" spans="10:11" ht="16" x14ac:dyDescent="0.2">
      <c r="J804" s="3"/>
      <c r="K804" s="5"/>
    </row>
    <row r="805" spans="10:11" ht="16" x14ac:dyDescent="0.2">
      <c r="J805" s="3"/>
      <c r="K805" s="5"/>
    </row>
    <row r="806" spans="10:11" ht="16" x14ac:dyDescent="0.2">
      <c r="J806" s="3"/>
      <c r="K806" s="5"/>
    </row>
    <row r="807" spans="10:11" ht="16" x14ac:dyDescent="0.2">
      <c r="J807" s="3"/>
      <c r="K807" s="5"/>
    </row>
    <row r="808" spans="10:11" ht="16" x14ac:dyDescent="0.2">
      <c r="J808" s="3"/>
      <c r="K808" s="5"/>
    </row>
    <row r="809" spans="10:11" ht="16" x14ac:dyDescent="0.2">
      <c r="J809" s="3"/>
      <c r="K809" s="5"/>
    </row>
    <row r="810" spans="10:11" ht="16" x14ac:dyDescent="0.2">
      <c r="J810" s="3"/>
      <c r="K810" s="5"/>
    </row>
    <row r="811" spans="10:11" ht="16" x14ac:dyDescent="0.2">
      <c r="J811" s="3"/>
      <c r="K811" s="5"/>
    </row>
    <row r="812" spans="10:11" ht="16" x14ac:dyDescent="0.2">
      <c r="J812" s="3"/>
      <c r="K812" s="5"/>
    </row>
    <row r="813" spans="10:11" ht="16" x14ac:dyDescent="0.2">
      <c r="J813" s="3"/>
      <c r="K813" s="5"/>
    </row>
    <row r="814" spans="10:11" ht="16" x14ac:dyDescent="0.2">
      <c r="J814" s="3"/>
      <c r="K814" s="5"/>
    </row>
    <row r="815" spans="10:11" ht="16" x14ac:dyDescent="0.2">
      <c r="J815" s="3"/>
      <c r="K815" s="5"/>
    </row>
    <row r="816" spans="10:11" ht="16" x14ac:dyDescent="0.2">
      <c r="J816" s="3"/>
      <c r="K816" s="5"/>
    </row>
    <row r="817" spans="10:11" ht="16" x14ac:dyDescent="0.2">
      <c r="J817" s="3"/>
      <c r="K817" s="5"/>
    </row>
    <row r="818" spans="10:11" ht="16" x14ac:dyDescent="0.2">
      <c r="J818" s="3"/>
      <c r="K818" s="5"/>
    </row>
    <row r="819" spans="10:11" ht="16" x14ac:dyDescent="0.2">
      <c r="J819" s="3"/>
      <c r="K819" s="5"/>
    </row>
    <row r="820" spans="10:11" ht="16" x14ac:dyDescent="0.2">
      <c r="J820" s="3"/>
      <c r="K820" s="5"/>
    </row>
    <row r="821" spans="10:11" ht="16" x14ac:dyDescent="0.2">
      <c r="J821" s="3"/>
      <c r="K821" s="5"/>
    </row>
    <row r="822" spans="10:11" ht="16" x14ac:dyDescent="0.2">
      <c r="J822" s="3"/>
      <c r="K822" s="5"/>
    </row>
    <row r="823" spans="10:11" ht="16" x14ac:dyDescent="0.2">
      <c r="J823" s="3"/>
      <c r="K823" s="5"/>
    </row>
    <row r="824" spans="10:11" ht="16" x14ac:dyDescent="0.2">
      <c r="J824" s="3"/>
      <c r="K824" s="5"/>
    </row>
    <row r="825" spans="10:11" ht="16" x14ac:dyDescent="0.2">
      <c r="J825" s="3"/>
      <c r="K825" s="5"/>
    </row>
    <row r="826" spans="10:11" ht="16" x14ac:dyDescent="0.2">
      <c r="J826" s="3"/>
      <c r="K826" s="5"/>
    </row>
    <row r="827" spans="10:11" ht="16" x14ac:dyDescent="0.2">
      <c r="J827" s="3"/>
      <c r="K827" s="5"/>
    </row>
    <row r="828" spans="10:11" ht="16" x14ac:dyDescent="0.2">
      <c r="J828" s="3"/>
      <c r="K828" s="5"/>
    </row>
    <row r="829" spans="10:11" ht="16" x14ac:dyDescent="0.2">
      <c r="J829" s="3"/>
      <c r="K829" s="5"/>
    </row>
    <row r="830" spans="10:11" ht="16" x14ac:dyDescent="0.2">
      <c r="J830" s="3"/>
      <c r="K830" s="5"/>
    </row>
    <row r="831" spans="10:11" ht="16" x14ac:dyDescent="0.2">
      <c r="J831" s="3"/>
      <c r="K831" s="5"/>
    </row>
    <row r="832" spans="10:11" ht="16" x14ac:dyDescent="0.2">
      <c r="J832" s="3"/>
      <c r="K832" s="5"/>
    </row>
    <row r="833" spans="10:11" ht="16" x14ac:dyDescent="0.2">
      <c r="J833" s="3"/>
      <c r="K833" s="5"/>
    </row>
    <row r="834" spans="10:11" ht="16" x14ac:dyDescent="0.2">
      <c r="J834" s="3"/>
      <c r="K834" s="5"/>
    </row>
    <row r="835" spans="10:11" ht="16" x14ac:dyDescent="0.2">
      <c r="J835" s="3"/>
      <c r="K835" s="5"/>
    </row>
    <row r="836" spans="10:11" ht="16" x14ac:dyDescent="0.2">
      <c r="J836" s="3"/>
      <c r="K836" s="5"/>
    </row>
    <row r="837" spans="10:11" ht="16" x14ac:dyDescent="0.2">
      <c r="J837" s="3"/>
      <c r="K837" s="5"/>
    </row>
    <row r="838" spans="10:11" ht="16" x14ac:dyDescent="0.2">
      <c r="J838" s="3"/>
      <c r="K838" s="5"/>
    </row>
    <row r="839" spans="10:11" ht="16" x14ac:dyDescent="0.2">
      <c r="J839" s="3"/>
      <c r="K839" s="5"/>
    </row>
    <row r="840" spans="10:11" ht="16" x14ac:dyDescent="0.2">
      <c r="J840" s="3"/>
      <c r="K840" s="5"/>
    </row>
    <row r="841" spans="10:11" ht="16" x14ac:dyDescent="0.2">
      <c r="J841" s="3"/>
      <c r="K841" s="5"/>
    </row>
    <row r="842" spans="10:11" ht="16" x14ac:dyDescent="0.2">
      <c r="J842" s="3"/>
      <c r="K842" s="5"/>
    </row>
    <row r="843" spans="10:11" ht="16" x14ac:dyDescent="0.2">
      <c r="J843" s="3"/>
      <c r="K843" s="5"/>
    </row>
    <row r="844" spans="10:11" ht="16" x14ac:dyDescent="0.2">
      <c r="J844" s="3"/>
      <c r="K844" s="5"/>
    </row>
    <row r="845" spans="10:11" ht="16" x14ac:dyDescent="0.2">
      <c r="J845" s="3"/>
      <c r="K845" s="5"/>
    </row>
    <row r="846" spans="10:11" ht="16" x14ac:dyDescent="0.2">
      <c r="J846" s="3"/>
      <c r="K846" s="5"/>
    </row>
    <row r="847" spans="10:11" ht="16" x14ac:dyDescent="0.2">
      <c r="J847" s="3"/>
      <c r="K847" s="5"/>
    </row>
    <row r="848" spans="10:11" ht="16" x14ac:dyDescent="0.2">
      <c r="J848" s="3"/>
      <c r="K848" s="5"/>
    </row>
    <row r="849" spans="10:11" ht="16" x14ac:dyDescent="0.2">
      <c r="J849" s="3"/>
      <c r="K849" s="5"/>
    </row>
    <row r="850" spans="10:11" ht="16" x14ac:dyDescent="0.2">
      <c r="J850" s="3"/>
      <c r="K850" s="5"/>
    </row>
    <row r="851" spans="10:11" ht="16" x14ac:dyDescent="0.2">
      <c r="J851" s="3"/>
      <c r="K851" s="5"/>
    </row>
    <row r="852" spans="10:11" ht="16" x14ac:dyDescent="0.2">
      <c r="J852" s="3"/>
      <c r="K852" s="5"/>
    </row>
    <row r="853" spans="10:11" ht="16" x14ac:dyDescent="0.2">
      <c r="J853" s="3"/>
      <c r="K853" s="5"/>
    </row>
    <row r="854" spans="10:11" ht="16" x14ac:dyDescent="0.2">
      <c r="J854" s="3"/>
      <c r="K854" s="5"/>
    </row>
    <row r="855" spans="10:11" ht="16" x14ac:dyDescent="0.2">
      <c r="J855" s="3"/>
      <c r="K855" s="5"/>
    </row>
    <row r="856" spans="10:11" ht="16" x14ac:dyDescent="0.2">
      <c r="J856" s="3"/>
      <c r="K856" s="5"/>
    </row>
    <row r="857" spans="10:11" ht="16" x14ac:dyDescent="0.2">
      <c r="J857" s="3"/>
      <c r="K857" s="5"/>
    </row>
    <row r="858" spans="10:11" ht="16" x14ac:dyDescent="0.2">
      <c r="J858" s="3"/>
      <c r="K858" s="5"/>
    </row>
    <row r="859" spans="10:11" ht="16" x14ac:dyDescent="0.2">
      <c r="J859" s="3"/>
      <c r="K859" s="5"/>
    </row>
    <row r="860" spans="10:11" ht="16" x14ac:dyDescent="0.2">
      <c r="J860" s="3"/>
      <c r="K860" s="5"/>
    </row>
    <row r="861" spans="10:11" ht="16" x14ac:dyDescent="0.2">
      <c r="J861" s="3"/>
      <c r="K861" s="5"/>
    </row>
    <row r="862" spans="10:11" ht="16" x14ac:dyDescent="0.2">
      <c r="J862" s="3"/>
      <c r="K862" s="5"/>
    </row>
    <row r="863" spans="10:11" ht="16" x14ac:dyDescent="0.2">
      <c r="J863" s="3"/>
      <c r="K863" s="5"/>
    </row>
    <row r="864" spans="10:11" ht="16" x14ac:dyDescent="0.2">
      <c r="J864" s="3"/>
      <c r="K864" s="5"/>
    </row>
    <row r="865" spans="10:11" ht="16" x14ac:dyDescent="0.2">
      <c r="J865" s="3"/>
      <c r="K865" s="5"/>
    </row>
    <row r="866" spans="10:11" ht="16" x14ac:dyDescent="0.2">
      <c r="J866" s="3"/>
      <c r="K866" s="5"/>
    </row>
    <row r="867" spans="10:11" ht="16" x14ac:dyDescent="0.2">
      <c r="J867" s="3"/>
      <c r="K867" s="5"/>
    </row>
    <row r="868" spans="10:11" ht="16" x14ac:dyDescent="0.2">
      <c r="J868" s="3"/>
      <c r="K868" s="5"/>
    </row>
    <row r="869" spans="10:11" ht="16" x14ac:dyDescent="0.2">
      <c r="J869" s="3"/>
      <c r="K869" s="5"/>
    </row>
    <row r="870" spans="10:11" ht="16" x14ac:dyDescent="0.2">
      <c r="J870" s="3"/>
      <c r="K870" s="5"/>
    </row>
    <row r="871" spans="10:11" ht="16" x14ac:dyDescent="0.2">
      <c r="J871" s="3"/>
      <c r="K871" s="5"/>
    </row>
    <row r="872" spans="10:11" ht="16" x14ac:dyDescent="0.2">
      <c r="J872" s="3"/>
      <c r="K872" s="5"/>
    </row>
    <row r="873" spans="10:11" ht="16" x14ac:dyDescent="0.2">
      <c r="J873" s="3"/>
      <c r="K873" s="5"/>
    </row>
    <row r="874" spans="10:11" ht="16" x14ac:dyDescent="0.2">
      <c r="J874" s="3"/>
      <c r="K874" s="5"/>
    </row>
    <row r="875" spans="10:11" ht="16" x14ac:dyDescent="0.2">
      <c r="J875" s="3"/>
      <c r="K875" s="5"/>
    </row>
    <row r="876" spans="10:11" ht="16" x14ac:dyDescent="0.2">
      <c r="J876" s="3"/>
      <c r="K876" s="5"/>
    </row>
    <row r="877" spans="10:11" ht="16" x14ac:dyDescent="0.2">
      <c r="J877" s="3"/>
      <c r="K877" s="5"/>
    </row>
    <row r="878" spans="10:11" ht="16" x14ac:dyDescent="0.2">
      <c r="J878" s="3"/>
      <c r="K878" s="5"/>
    </row>
    <row r="879" spans="10:11" ht="16" x14ac:dyDescent="0.2">
      <c r="J879" s="3"/>
      <c r="K879" s="5"/>
    </row>
    <row r="880" spans="10:11" ht="16" x14ac:dyDescent="0.2">
      <c r="J880" s="3"/>
      <c r="K880" s="5"/>
    </row>
    <row r="881" spans="10:11" ht="16" x14ac:dyDescent="0.2">
      <c r="J881" s="3"/>
      <c r="K881" s="5"/>
    </row>
    <row r="882" spans="10:11" ht="16" x14ac:dyDescent="0.2">
      <c r="J882" s="3"/>
      <c r="K882" s="5"/>
    </row>
    <row r="883" spans="10:11" ht="16" x14ac:dyDescent="0.2">
      <c r="J883" s="3"/>
      <c r="K883" s="5"/>
    </row>
    <row r="884" spans="10:11" ht="16" x14ac:dyDescent="0.2">
      <c r="J884" s="3"/>
      <c r="K884" s="5"/>
    </row>
    <row r="885" spans="10:11" ht="16" x14ac:dyDescent="0.2">
      <c r="J885" s="3"/>
      <c r="K885" s="5"/>
    </row>
    <row r="886" spans="10:11" ht="16" x14ac:dyDescent="0.2">
      <c r="J886" s="3"/>
      <c r="K886" s="5"/>
    </row>
    <row r="887" spans="10:11" ht="16" x14ac:dyDescent="0.2">
      <c r="J887" s="3"/>
      <c r="K887" s="5"/>
    </row>
    <row r="888" spans="10:11" ht="16" x14ac:dyDescent="0.2">
      <c r="J888" s="3"/>
      <c r="K888" s="5"/>
    </row>
    <row r="889" spans="10:11" ht="16" x14ac:dyDescent="0.2">
      <c r="J889" s="3"/>
      <c r="K889" s="5"/>
    </row>
    <row r="890" spans="10:11" ht="16" x14ac:dyDescent="0.2">
      <c r="J890" s="3"/>
      <c r="K890" s="5"/>
    </row>
    <row r="891" spans="10:11" ht="16" x14ac:dyDescent="0.2">
      <c r="J891" s="3"/>
      <c r="K891" s="5"/>
    </row>
    <row r="892" spans="10:11" ht="16" x14ac:dyDescent="0.2">
      <c r="J892" s="3"/>
      <c r="K892" s="5"/>
    </row>
    <row r="893" spans="10:11" ht="16" x14ac:dyDescent="0.2">
      <c r="J893" s="3"/>
      <c r="K893" s="5"/>
    </row>
    <row r="894" spans="10:11" ht="16" x14ac:dyDescent="0.2">
      <c r="J894" s="3"/>
      <c r="K894" s="5"/>
    </row>
    <row r="895" spans="10:11" ht="16" x14ac:dyDescent="0.2">
      <c r="J895" s="3"/>
      <c r="K895" s="5"/>
    </row>
    <row r="896" spans="10:11" ht="16" x14ac:dyDescent="0.2">
      <c r="J896" s="3"/>
      <c r="K896" s="5"/>
    </row>
    <row r="897" spans="10:11" ht="16" x14ac:dyDescent="0.2">
      <c r="J897" s="3"/>
      <c r="K897" s="5"/>
    </row>
    <row r="898" spans="10:11" ht="16" x14ac:dyDescent="0.2">
      <c r="J898" s="3"/>
      <c r="K898" s="5"/>
    </row>
    <row r="899" spans="10:11" ht="16" x14ac:dyDescent="0.2">
      <c r="J899" s="3"/>
      <c r="K899" s="5"/>
    </row>
    <row r="900" spans="10:11" ht="16" x14ac:dyDescent="0.2">
      <c r="J900" s="3"/>
      <c r="K900" s="5"/>
    </row>
    <row r="901" spans="10:11" ht="16" x14ac:dyDescent="0.2">
      <c r="J901" s="3"/>
      <c r="K901" s="5"/>
    </row>
    <row r="902" spans="10:11" ht="16" x14ac:dyDescent="0.2">
      <c r="J902" s="3"/>
      <c r="K902" s="5"/>
    </row>
    <row r="903" spans="10:11" ht="16" x14ac:dyDescent="0.2">
      <c r="J903" s="3"/>
      <c r="K903" s="5"/>
    </row>
    <row r="904" spans="10:11" ht="16" x14ac:dyDescent="0.2">
      <c r="J904" s="3"/>
      <c r="K904" s="5"/>
    </row>
    <row r="905" spans="10:11" ht="16" x14ac:dyDescent="0.2">
      <c r="J905" s="3"/>
      <c r="K905" s="5"/>
    </row>
    <row r="906" spans="10:11" ht="16" x14ac:dyDescent="0.2">
      <c r="J906" s="3"/>
      <c r="K906" s="5"/>
    </row>
    <row r="907" spans="10:11" ht="16" x14ac:dyDescent="0.2">
      <c r="J907" s="3"/>
      <c r="K907" s="5"/>
    </row>
    <row r="908" spans="10:11" ht="16" x14ac:dyDescent="0.2">
      <c r="J908" s="3"/>
      <c r="K908" s="5"/>
    </row>
    <row r="909" spans="10:11" ht="16" x14ac:dyDescent="0.2">
      <c r="J909" s="3"/>
      <c r="K909" s="5"/>
    </row>
    <row r="910" spans="10:11" ht="16" x14ac:dyDescent="0.2">
      <c r="J910" s="3"/>
      <c r="K910" s="5"/>
    </row>
    <row r="911" spans="10:11" ht="16" x14ac:dyDescent="0.2">
      <c r="J911" s="3"/>
      <c r="K911" s="5"/>
    </row>
    <row r="912" spans="10:11" ht="16" x14ac:dyDescent="0.2">
      <c r="J912" s="3"/>
      <c r="K912" s="5"/>
    </row>
    <row r="913" spans="10:11" ht="16" x14ac:dyDescent="0.2">
      <c r="J913" s="3"/>
      <c r="K913" s="5"/>
    </row>
    <row r="914" spans="10:11" ht="16" x14ac:dyDescent="0.2">
      <c r="J914" s="3"/>
      <c r="K914" s="5"/>
    </row>
    <row r="915" spans="10:11" ht="16" x14ac:dyDescent="0.2">
      <c r="J915" s="3"/>
      <c r="K915" s="5"/>
    </row>
    <row r="916" spans="10:11" ht="16" x14ac:dyDescent="0.2">
      <c r="J916" s="3"/>
      <c r="K916" s="5"/>
    </row>
    <row r="917" spans="10:11" ht="16" x14ac:dyDescent="0.2">
      <c r="J917" s="3"/>
      <c r="K917" s="5"/>
    </row>
    <row r="918" spans="10:11" ht="16" x14ac:dyDescent="0.2">
      <c r="J918" s="3"/>
      <c r="K918" s="5"/>
    </row>
    <row r="919" spans="10:11" ht="16" x14ac:dyDescent="0.2">
      <c r="J919" s="3"/>
      <c r="K919" s="5"/>
    </row>
    <row r="920" spans="10:11" ht="16" x14ac:dyDescent="0.2">
      <c r="J920" s="3"/>
      <c r="K920" s="5"/>
    </row>
    <row r="921" spans="10:11" ht="16" x14ac:dyDescent="0.2">
      <c r="J921" s="3"/>
      <c r="K921" s="5"/>
    </row>
    <row r="922" spans="10:11" ht="16" x14ac:dyDescent="0.2">
      <c r="J922" s="3"/>
      <c r="K922" s="5"/>
    </row>
    <row r="923" spans="10:11" ht="16" x14ac:dyDescent="0.2">
      <c r="J923" s="3"/>
      <c r="K923" s="5"/>
    </row>
    <row r="924" spans="10:11" ht="16" x14ac:dyDescent="0.2">
      <c r="J924" s="3"/>
      <c r="K924" s="5"/>
    </row>
    <row r="925" spans="10:11" ht="16" x14ac:dyDescent="0.2">
      <c r="J925" s="3"/>
      <c r="K925" s="5"/>
    </row>
    <row r="926" spans="10:11" ht="16" x14ac:dyDescent="0.2">
      <c r="J926" s="3"/>
      <c r="K926" s="5"/>
    </row>
    <row r="927" spans="10:11" ht="16" x14ac:dyDescent="0.2">
      <c r="J927" s="3"/>
      <c r="K927" s="5"/>
    </row>
    <row r="928" spans="10:11" ht="16" x14ac:dyDescent="0.2">
      <c r="J928" s="3"/>
      <c r="K928" s="5"/>
    </row>
    <row r="929" spans="10:11" ht="16" x14ac:dyDescent="0.2">
      <c r="J929" s="3"/>
      <c r="K929" s="5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20240827_CBASS_ID_GA_ED50_input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 Voolstra</dc:creator>
  <cp:lastModifiedBy>Marlen Schlotheuber</cp:lastModifiedBy>
  <dcterms:created xsi:type="dcterms:W3CDTF">2022-11-11T06:30:27Z</dcterms:created>
  <dcterms:modified xsi:type="dcterms:W3CDTF">2026-02-06T10:53:01Z</dcterms:modified>
</cp:coreProperties>
</file>