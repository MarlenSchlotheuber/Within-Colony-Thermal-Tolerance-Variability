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2042024/CBASS_ED50/23042024_CBASS_colony_6/24042024_CBASS_PAM_data_colony_6_42C_repeat/"/>
    </mc:Choice>
  </mc:AlternateContent>
  <xr:revisionPtr revIDLastSave="0" documentId="13_ncr:1_{36FCFEFF-85A9-FA42-9F5B-2EFAAB6CF6D6}" xr6:coauthVersionLast="47" xr6:coauthVersionMax="47" xr10:uidLastSave="{00000000-0000-0000-0000-000000000000}"/>
  <bookViews>
    <workbookView xWindow="4300" yWindow="500" windowWidth="15260" windowHeight="15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1" l="1"/>
  <c r="M44" i="1"/>
  <c r="M41" i="1"/>
  <c r="M36" i="1"/>
  <c r="M33" i="1"/>
  <c r="M31" i="1"/>
  <c r="M28" i="1"/>
  <c r="M26" i="1"/>
  <c r="M19" i="1"/>
  <c r="M17" i="1"/>
  <c r="M15" i="1"/>
  <c r="M13" i="1"/>
  <c r="M10" i="1"/>
  <c r="M8" i="1"/>
  <c r="M6" i="1"/>
  <c r="M3" i="1"/>
</calcChain>
</file>

<file path=xl/sharedStrings.xml><?xml version="1.0" encoding="utf-8"?>
<sst xmlns="http://schemas.openxmlformats.org/spreadsheetml/2006/main" count="159" uniqueCount="36">
  <si>
    <t>Time (rel/ms)</t>
  </si>
  <si>
    <t>Type</t>
  </si>
  <si>
    <t>No.</t>
  </si>
  <si>
    <t>2:Mark</t>
  </si>
  <si>
    <t>2:F</t>
  </si>
  <si>
    <t>2:Fm'</t>
  </si>
  <si>
    <t>2:PAR</t>
  </si>
  <si>
    <t>2:Y (II)</t>
  </si>
  <si>
    <t>2:ETR</t>
  </si>
  <si>
    <t>0</t>
  </si>
  <si>
    <t>D</t>
  </si>
  <si>
    <t>Device Nr: #2, MINI-PAM-II (PYAD0362A)</t>
  </si>
  <si>
    <t>FO</t>
  </si>
  <si>
    <t>Temperature</t>
  </si>
  <si>
    <t>Label</t>
  </si>
  <si>
    <t>Orientation</t>
  </si>
  <si>
    <t>L1</t>
  </si>
  <si>
    <t>L2</t>
  </si>
  <si>
    <t>L3</t>
  </si>
  <si>
    <t>L4</t>
  </si>
  <si>
    <t>O1</t>
  </si>
  <si>
    <t>O2</t>
  </si>
  <si>
    <t>O3</t>
  </si>
  <si>
    <t>O4</t>
  </si>
  <si>
    <t>blank</t>
  </si>
  <si>
    <t>E1</t>
  </si>
  <si>
    <t>E2</t>
  </si>
  <si>
    <t>E3</t>
  </si>
  <si>
    <t>E4</t>
  </si>
  <si>
    <t>W1</t>
  </si>
  <si>
    <t>W2</t>
  </si>
  <si>
    <t>W3</t>
  </si>
  <si>
    <t>W4</t>
  </si>
  <si>
    <t>fun measurement</t>
  </si>
  <si>
    <t>PAM</t>
  </si>
  <si>
    <t xml:space="preserve"> '-&gt; PAM not well positioned so I take the second measurement row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</si>
</sst>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2" borderId="0" xfId="0" applyNumberFormat="1" applyFill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G1" zoomScale="133" workbookViewId="0">
      <selection activeCell="N4" sqref="N4"/>
    </sheetView>
  </sheetViews>
  <sheetFormatPr baseColWidth="10" defaultColWidth="8.83203125" defaultRowHeight="15" x14ac:dyDescent="0.2"/>
  <cols>
    <col min="10" max="10" width="13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14</v>
      </c>
      <c r="L1" t="s">
        <v>15</v>
      </c>
      <c r="M1" t="s">
        <v>34</v>
      </c>
    </row>
    <row r="2" spans="1:14" x14ac:dyDescent="0.2">
      <c r="A2" t="s">
        <v>9</v>
      </c>
      <c r="B2" t="s">
        <v>10</v>
      </c>
      <c r="D2" t="s">
        <v>11</v>
      </c>
    </row>
    <row r="3" spans="1:14" x14ac:dyDescent="0.2">
      <c r="A3" s="1">
        <v>0</v>
      </c>
      <c r="B3" t="s">
        <v>12</v>
      </c>
      <c r="C3" s="1">
        <v>1278</v>
      </c>
      <c r="D3" s="1">
        <v>0</v>
      </c>
      <c r="E3" s="1">
        <v>704</v>
      </c>
      <c r="F3" s="1">
        <v>700</v>
      </c>
      <c r="G3" s="1">
        <v>0</v>
      </c>
      <c r="H3" s="1">
        <v>0</v>
      </c>
      <c r="I3" s="1">
        <v>0</v>
      </c>
      <c r="J3">
        <v>42</v>
      </c>
      <c r="K3" t="s">
        <v>16</v>
      </c>
      <c r="L3" t="s">
        <v>25</v>
      </c>
      <c r="M3" s="4">
        <f>AVERAGE(H3:H4)</f>
        <v>4.3999999999999997E-2</v>
      </c>
      <c r="N3" t="s">
        <v>35</v>
      </c>
    </row>
    <row r="4" spans="1:14" x14ac:dyDescent="0.2">
      <c r="A4" s="1">
        <v>10908</v>
      </c>
      <c r="B4" t="s">
        <v>12</v>
      </c>
      <c r="C4" s="1">
        <v>1279</v>
      </c>
      <c r="D4" s="1">
        <v>0</v>
      </c>
      <c r="E4" s="1">
        <v>656</v>
      </c>
      <c r="F4" s="1">
        <v>719</v>
      </c>
      <c r="G4" s="1">
        <v>0</v>
      </c>
      <c r="H4" s="2">
        <v>8.7999999999999995E-2</v>
      </c>
      <c r="I4" s="3">
        <v>0</v>
      </c>
      <c r="J4">
        <v>42</v>
      </c>
      <c r="K4" t="s">
        <v>16</v>
      </c>
      <c r="L4" t="s">
        <v>25</v>
      </c>
    </row>
    <row r="5" spans="1:14" x14ac:dyDescent="0.2">
      <c r="A5" s="1">
        <v>20345</v>
      </c>
      <c r="B5" t="s">
        <v>12</v>
      </c>
      <c r="C5" s="1">
        <v>1280</v>
      </c>
      <c r="D5" s="1">
        <v>0</v>
      </c>
      <c r="E5" s="1">
        <v>574</v>
      </c>
      <c r="F5" s="1">
        <v>648</v>
      </c>
      <c r="G5" s="1">
        <v>0</v>
      </c>
      <c r="H5" s="2">
        <v>0.114</v>
      </c>
      <c r="I5" s="3">
        <v>0</v>
      </c>
      <c r="J5">
        <v>42</v>
      </c>
      <c r="K5" t="s">
        <v>16</v>
      </c>
      <c r="L5" t="s">
        <v>25</v>
      </c>
    </row>
    <row r="6" spans="1:14" x14ac:dyDescent="0.2">
      <c r="A6" s="1">
        <v>90054</v>
      </c>
      <c r="B6" t="s">
        <v>12</v>
      </c>
      <c r="C6" s="1">
        <v>1281</v>
      </c>
      <c r="D6" s="1">
        <v>0</v>
      </c>
      <c r="E6" s="1">
        <v>706</v>
      </c>
      <c r="F6" s="1">
        <v>721</v>
      </c>
      <c r="G6" s="1">
        <v>0</v>
      </c>
      <c r="H6" s="2">
        <v>2.1000000000000001E-2</v>
      </c>
      <c r="I6" s="3">
        <v>0</v>
      </c>
      <c r="J6">
        <v>42</v>
      </c>
      <c r="K6" t="s">
        <v>17</v>
      </c>
      <c r="L6" t="s">
        <v>26</v>
      </c>
      <c r="M6" s="2">
        <f>AVERAGE(H6:H7)</f>
        <v>1.2E-2</v>
      </c>
    </row>
    <row r="7" spans="1:14" x14ac:dyDescent="0.2">
      <c r="A7" s="1">
        <v>102453</v>
      </c>
      <c r="B7" t="s">
        <v>12</v>
      </c>
      <c r="C7" s="1">
        <v>1282</v>
      </c>
      <c r="D7" s="1">
        <v>0</v>
      </c>
      <c r="E7" s="1">
        <v>596</v>
      </c>
      <c r="F7" s="1">
        <v>598</v>
      </c>
      <c r="G7" s="1">
        <v>0</v>
      </c>
      <c r="H7" s="2">
        <v>3.0000000000000001E-3</v>
      </c>
      <c r="I7" s="3">
        <v>0</v>
      </c>
      <c r="J7">
        <v>42</v>
      </c>
      <c r="K7" t="s">
        <v>17</v>
      </c>
      <c r="L7" t="s">
        <v>26</v>
      </c>
    </row>
    <row r="8" spans="1:14" x14ac:dyDescent="0.2">
      <c r="A8" s="1">
        <v>119178</v>
      </c>
      <c r="B8" t="s">
        <v>12</v>
      </c>
      <c r="C8" s="1">
        <v>1283</v>
      </c>
      <c r="D8" s="1">
        <v>0</v>
      </c>
      <c r="E8" s="1">
        <v>596</v>
      </c>
      <c r="F8" s="1">
        <v>602</v>
      </c>
      <c r="G8" s="1">
        <v>0</v>
      </c>
      <c r="H8" s="2">
        <v>0.01</v>
      </c>
      <c r="I8" s="3">
        <v>0</v>
      </c>
      <c r="J8">
        <v>42</v>
      </c>
      <c r="K8" t="s">
        <v>18</v>
      </c>
      <c r="L8" t="s">
        <v>27</v>
      </c>
      <c r="M8" s="5">
        <f>AVERAGE(H8:H9)</f>
        <v>9.0000000000000011E-3</v>
      </c>
    </row>
    <row r="9" spans="1:14" x14ac:dyDescent="0.2">
      <c r="A9" s="1">
        <v>129199</v>
      </c>
      <c r="B9" t="s">
        <v>12</v>
      </c>
      <c r="C9" s="1">
        <v>1284</v>
      </c>
      <c r="D9" s="1">
        <v>0</v>
      </c>
      <c r="E9" s="1">
        <v>654</v>
      </c>
      <c r="F9" s="1">
        <v>659</v>
      </c>
      <c r="G9" s="1">
        <v>0</v>
      </c>
      <c r="H9" s="2">
        <v>8.0000000000000002E-3</v>
      </c>
      <c r="I9" s="3">
        <v>0</v>
      </c>
      <c r="J9">
        <v>42</v>
      </c>
      <c r="K9" t="s">
        <v>18</v>
      </c>
      <c r="L9" t="s">
        <v>27</v>
      </c>
      <c r="M9" s="6"/>
    </row>
    <row r="10" spans="1:14" x14ac:dyDescent="0.2">
      <c r="A10" s="1">
        <v>148688</v>
      </c>
      <c r="B10" t="s">
        <v>12</v>
      </c>
      <c r="C10" s="1">
        <v>1285</v>
      </c>
      <c r="D10" s="1">
        <v>0</v>
      </c>
      <c r="E10" s="1">
        <v>639</v>
      </c>
      <c r="F10" s="1">
        <v>655</v>
      </c>
      <c r="G10" s="1">
        <v>0</v>
      </c>
      <c r="H10" s="2">
        <v>2.4E-2</v>
      </c>
      <c r="I10" s="3">
        <v>0</v>
      </c>
      <c r="J10">
        <v>42</v>
      </c>
      <c r="K10" t="s">
        <v>19</v>
      </c>
      <c r="L10" t="s">
        <v>28</v>
      </c>
      <c r="M10" s="5">
        <f>AVERAGE(H10:H11)</f>
        <v>1.6E-2</v>
      </c>
    </row>
    <row r="11" spans="1:14" x14ac:dyDescent="0.2">
      <c r="A11" s="1">
        <v>160695</v>
      </c>
      <c r="B11" t="s">
        <v>12</v>
      </c>
      <c r="C11" s="1">
        <v>1286</v>
      </c>
      <c r="D11" s="1">
        <v>0</v>
      </c>
      <c r="E11" s="1">
        <v>617</v>
      </c>
      <c r="F11" s="1">
        <v>622</v>
      </c>
      <c r="G11" s="1">
        <v>0</v>
      </c>
      <c r="H11" s="2">
        <v>8.0000000000000002E-3</v>
      </c>
      <c r="I11" s="3">
        <v>0</v>
      </c>
      <c r="J11">
        <v>42</v>
      </c>
      <c r="K11" t="s">
        <v>19</v>
      </c>
      <c r="L11" t="s">
        <v>28</v>
      </c>
      <c r="M11" s="6"/>
    </row>
    <row r="12" spans="1:14" x14ac:dyDescent="0.2">
      <c r="A12" s="1">
        <v>175446</v>
      </c>
      <c r="B12" t="s">
        <v>12</v>
      </c>
      <c r="C12" s="1">
        <v>1287</v>
      </c>
      <c r="D12" s="1">
        <v>0</v>
      </c>
      <c r="E12" s="1">
        <v>0</v>
      </c>
      <c r="F12" s="1">
        <v>2</v>
      </c>
      <c r="G12" s="1">
        <v>0</v>
      </c>
      <c r="H12" s="1">
        <v>0</v>
      </c>
      <c r="I12" s="1">
        <v>0</v>
      </c>
      <c r="J12">
        <v>42</v>
      </c>
      <c r="M12" s="6"/>
    </row>
    <row r="13" spans="1:14" x14ac:dyDescent="0.2">
      <c r="A13" s="1">
        <v>188081</v>
      </c>
      <c r="B13" t="s">
        <v>12</v>
      </c>
      <c r="C13" s="1">
        <v>1288</v>
      </c>
      <c r="D13" s="1">
        <v>0</v>
      </c>
      <c r="E13" s="1">
        <v>607</v>
      </c>
      <c r="F13" s="1">
        <v>615</v>
      </c>
      <c r="G13" s="1">
        <v>0</v>
      </c>
      <c r="H13" s="2">
        <v>1.2999999999999999E-2</v>
      </c>
      <c r="I13" s="3">
        <v>0</v>
      </c>
      <c r="J13">
        <v>42</v>
      </c>
      <c r="K13" t="s">
        <v>20</v>
      </c>
      <c r="L13" t="s">
        <v>29</v>
      </c>
      <c r="M13" s="5">
        <f>AVERAGE(H13:H14)</f>
        <v>1.2E-2</v>
      </c>
    </row>
    <row r="14" spans="1:14" x14ac:dyDescent="0.2">
      <c r="A14" s="1">
        <v>201106</v>
      </c>
      <c r="B14" t="s">
        <v>12</v>
      </c>
      <c r="C14" s="1">
        <v>1289</v>
      </c>
      <c r="D14" s="1">
        <v>0</v>
      </c>
      <c r="E14" s="1">
        <v>561</v>
      </c>
      <c r="F14" s="1">
        <v>567</v>
      </c>
      <c r="G14" s="1">
        <v>0</v>
      </c>
      <c r="H14" s="2">
        <v>1.0999999999999999E-2</v>
      </c>
      <c r="I14" s="3">
        <v>0</v>
      </c>
      <c r="J14">
        <v>42</v>
      </c>
      <c r="K14" t="s">
        <v>20</v>
      </c>
      <c r="L14" t="s">
        <v>29</v>
      </c>
      <c r="M14" s="6"/>
    </row>
    <row r="15" spans="1:14" x14ac:dyDescent="0.2">
      <c r="A15" s="1">
        <v>226328</v>
      </c>
      <c r="B15" t="s">
        <v>12</v>
      </c>
      <c r="C15" s="1">
        <v>1290</v>
      </c>
      <c r="D15" s="1">
        <v>0</v>
      </c>
      <c r="E15" s="1">
        <v>518</v>
      </c>
      <c r="F15" s="1">
        <v>535</v>
      </c>
      <c r="G15" s="1">
        <v>0</v>
      </c>
      <c r="H15" s="2">
        <v>3.2000000000000001E-2</v>
      </c>
      <c r="I15" s="3">
        <v>0</v>
      </c>
      <c r="J15">
        <v>42</v>
      </c>
      <c r="K15" t="s">
        <v>21</v>
      </c>
      <c r="L15" t="s">
        <v>30</v>
      </c>
      <c r="M15" s="5">
        <f>AVERAGE(H15:H16)</f>
        <v>2.4E-2</v>
      </c>
    </row>
    <row r="16" spans="1:14" x14ac:dyDescent="0.2">
      <c r="A16" s="1">
        <v>237373</v>
      </c>
      <c r="B16" t="s">
        <v>12</v>
      </c>
      <c r="C16" s="1">
        <v>1291</v>
      </c>
      <c r="D16" s="1">
        <v>0</v>
      </c>
      <c r="E16" s="1">
        <v>478</v>
      </c>
      <c r="F16" s="1">
        <v>486</v>
      </c>
      <c r="G16" s="1">
        <v>0</v>
      </c>
      <c r="H16" s="2">
        <v>1.6E-2</v>
      </c>
      <c r="I16" s="3">
        <v>0</v>
      </c>
      <c r="J16">
        <v>42</v>
      </c>
      <c r="K16" t="s">
        <v>21</v>
      </c>
      <c r="L16" t="s">
        <v>30</v>
      </c>
      <c r="M16" s="6"/>
    </row>
    <row r="17" spans="1:13" x14ac:dyDescent="0.2">
      <c r="A17" s="1">
        <v>256819</v>
      </c>
      <c r="B17" t="s">
        <v>12</v>
      </c>
      <c r="C17" s="1">
        <v>1292</v>
      </c>
      <c r="D17" s="1">
        <v>0</v>
      </c>
      <c r="E17" s="1">
        <v>499</v>
      </c>
      <c r="F17" s="1">
        <v>512</v>
      </c>
      <c r="G17" s="1">
        <v>0</v>
      </c>
      <c r="H17" s="2">
        <v>2.5000000000000001E-2</v>
      </c>
      <c r="I17" s="3">
        <v>0</v>
      </c>
      <c r="J17">
        <v>42</v>
      </c>
      <c r="K17" t="s">
        <v>22</v>
      </c>
      <c r="L17" t="s">
        <v>31</v>
      </c>
      <c r="M17" s="5">
        <f>AVERAGE(H17:H18)</f>
        <v>5.3500000000000006E-2</v>
      </c>
    </row>
    <row r="18" spans="1:13" x14ac:dyDescent="0.2">
      <c r="A18" s="1">
        <v>267720</v>
      </c>
      <c r="B18" t="s">
        <v>12</v>
      </c>
      <c r="C18" s="1">
        <v>1293</v>
      </c>
      <c r="D18" s="1">
        <v>0</v>
      </c>
      <c r="E18" s="1">
        <v>435</v>
      </c>
      <c r="F18" s="1">
        <v>474</v>
      </c>
      <c r="G18" s="1">
        <v>0</v>
      </c>
      <c r="H18" s="2">
        <v>8.2000000000000003E-2</v>
      </c>
      <c r="I18" s="3">
        <v>0</v>
      </c>
      <c r="J18">
        <v>42</v>
      </c>
      <c r="K18" t="s">
        <v>22</v>
      </c>
      <c r="L18" t="s">
        <v>31</v>
      </c>
      <c r="M18" s="6"/>
    </row>
    <row r="19" spans="1:13" x14ac:dyDescent="0.2">
      <c r="A19" s="1">
        <v>288877</v>
      </c>
      <c r="B19" t="s">
        <v>12</v>
      </c>
      <c r="C19" s="1">
        <v>1294</v>
      </c>
      <c r="D19" s="1">
        <v>0</v>
      </c>
      <c r="E19" s="1">
        <v>443</v>
      </c>
      <c r="F19" s="1">
        <v>446</v>
      </c>
      <c r="G19" s="1">
        <v>0</v>
      </c>
      <c r="H19" s="2">
        <v>7.0000000000000001E-3</v>
      </c>
      <c r="I19" s="3">
        <v>0</v>
      </c>
      <c r="J19">
        <v>42</v>
      </c>
      <c r="K19" t="s">
        <v>23</v>
      </c>
      <c r="L19" t="s">
        <v>32</v>
      </c>
      <c r="M19" s="5">
        <f>AVERAGE(H19,H21)</f>
        <v>6.5000000000000006E-3</v>
      </c>
    </row>
    <row r="20" spans="1:13" x14ac:dyDescent="0.2">
      <c r="A20" s="1">
        <v>308545</v>
      </c>
      <c r="B20" t="s">
        <v>12</v>
      </c>
      <c r="C20" s="1">
        <v>1295</v>
      </c>
      <c r="D20" s="1">
        <v>0</v>
      </c>
      <c r="E20" s="1">
        <v>407</v>
      </c>
      <c r="F20" s="1">
        <v>405</v>
      </c>
      <c r="G20" s="1">
        <v>0</v>
      </c>
      <c r="H20" s="1">
        <v>0</v>
      </c>
      <c r="I20" s="1">
        <v>0</v>
      </c>
      <c r="J20">
        <v>42</v>
      </c>
      <c r="K20" t="s">
        <v>23</v>
      </c>
      <c r="L20" t="s">
        <v>32</v>
      </c>
    </row>
    <row r="21" spans="1:13" x14ac:dyDescent="0.2">
      <c r="A21" s="1">
        <v>320167</v>
      </c>
      <c r="B21" t="s">
        <v>12</v>
      </c>
      <c r="C21" s="1">
        <v>1296</v>
      </c>
      <c r="D21" s="1">
        <v>0</v>
      </c>
      <c r="E21" s="1">
        <v>337</v>
      </c>
      <c r="F21" s="1">
        <v>339</v>
      </c>
      <c r="G21" s="1">
        <v>0</v>
      </c>
      <c r="H21" s="2">
        <v>6.0000000000000001E-3</v>
      </c>
      <c r="I21" s="3">
        <v>0</v>
      </c>
      <c r="J21">
        <v>42</v>
      </c>
      <c r="K21" t="s">
        <v>23</v>
      </c>
      <c r="L21" t="s">
        <v>32</v>
      </c>
    </row>
    <row r="22" spans="1:13" x14ac:dyDescent="0.2">
      <c r="A22" s="1">
        <v>331358</v>
      </c>
      <c r="B22" t="s">
        <v>12</v>
      </c>
      <c r="C22" s="1">
        <v>1297</v>
      </c>
      <c r="D22" s="1">
        <v>0</v>
      </c>
      <c r="E22" s="1">
        <v>345</v>
      </c>
      <c r="F22" s="1">
        <v>344</v>
      </c>
      <c r="G22" s="1">
        <v>0</v>
      </c>
      <c r="H22" s="1">
        <v>0</v>
      </c>
      <c r="I22" s="1">
        <v>0</v>
      </c>
      <c r="J22">
        <v>42</v>
      </c>
      <c r="K22" t="s">
        <v>23</v>
      </c>
      <c r="L22" t="s">
        <v>32</v>
      </c>
    </row>
    <row r="23" spans="1:13" x14ac:dyDescent="0.2">
      <c r="A23" s="1">
        <v>393180</v>
      </c>
      <c r="B23" t="s">
        <v>12</v>
      </c>
      <c r="C23" s="1">
        <v>1298</v>
      </c>
      <c r="D23" s="1">
        <v>0</v>
      </c>
      <c r="E23" s="1">
        <v>0</v>
      </c>
      <c r="F23" s="1">
        <v>2</v>
      </c>
      <c r="G23" s="1">
        <v>0</v>
      </c>
      <c r="H23" s="1">
        <v>0</v>
      </c>
      <c r="I23" s="1">
        <v>0</v>
      </c>
      <c r="J23">
        <v>42</v>
      </c>
      <c r="K23" t="s">
        <v>24</v>
      </c>
    </row>
    <row r="24" spans="1:13" x14ac:dyDescent="0.2">
      <c r="A24" s="1">
        <v>401805</v>
      </c>
      <c r="B24" t="s">
        <v>12</v>
      </c>
      <c r="C24" s="1">
        <v>1299</v>
      </c>
      <c r="D24" s="1">
        <v>0</v>
      </c>
      <c r="E24" s="1">
        <v>1</v>
      </c>
      <c r="F24" s="1">
        <v>2</v>
      </c>
      <c r="G24" s="1">
        <v>0</v>
      </c>
      <c r="H24" s="1">
        <v>0</v>
      </c>
      <c r="I24" s="1">
        <v>0</v>
      </c>
      <c r="J24">
        <v>42</v>
      </c>
      <c r="K24" t="s">
        <v>24</v>
      </c>
    </row>
    <row r="25" spans="1:13" x14ac:dyDescent="0.2">
      <c r="A25" s="1">
        <v>410149</v>
      </c>
      <c r="B25" t="s">
        <v>12</v>
      </c>
      <c r="C25" s="1">
        <v>1300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>
        <v>42</v>
      </c>
      <c r="K25" t="s">
        <v>24</v>
      </c>
    </row>
    <row r="26" spans="1:13" x14ac:dyDescent="0.2">
      <c r="A26" s="1">
        <v>953293</v>
      </c>
      <c r="B26" t="s">
        <v>12</v>
      </c>
      <c r="C26" s="1">
        <v>1301</v>
      </c>
      <c r="D26" s="1">
        <v>0</v>
      </c>
      <c r="E26" s="1">
        <v>677</v>
      </c>
      <c r="F26" s="1">
        <v>691</v>
      </c>
      <c r="G26" s="1">
        <v>0</v>
      </c>
      <c r="H26" s="2">
        <v>0.02</v>
      </c>
      <c r="I26" s="3">
        <v>0</v>
      </c>
      <c r="J26">
        <v>42</v>
      </c>
      <c r="K26" t="s">
        <v>16</v>
      </c>
      <c r="L26" t="s">
        <v>25</v>
      </c>
      <c r="M26" s="2">
        <f>AVERAGE(H26:H27)</f>
        <v>1.4999999999999999E-2</v>
      </c>
    </row>
    <row r="27" spans="1:13" x14ac:dyDescent="0.2">
      <c r="A27" s="1">
        <v>964603</v>
      </c>
      <c r="B27" t="s">
        <v>12</v>
      </c>
      <c r="C27" s="1">
        <v>1302</v>
      </c>
      <c r="D27" s="1">
        <v>0</v>
      </c>
      <c r="E27" s="1">
        <v>689</v>
      </c>
      <c r="F27" s="1">
        <v>696</v>
      </c>
      <c r="G27" s="1">
        <v>0</v>
      </c>
      <c r="H27" s="2">
        <v>0.01</v>
      </c>
      <c r="I27" s="3">
        <v>0</v>
      </c>
      <c r="J27">
        <v>42</v>
      </c>
      <c r="K27" t="s">
        <v>16</v>
      </c>
      <c r="L27" t="s">
        <v>25</v>
      </c>
    </row>
    <row r="28" spans="1:13" x14ac:dyDescent="0.2">
      <c r="A28" s="1">
        <v>983619</v>
      </c>
      <c r="B28" t="s">
        <v>12</v>
      </c>
      <c r="C28" s="1">
        <v>1303</v>
      </c>
      <c r="D28" s="1">
        <v>0</v>
      </c>
      <c r="E28" s="1">
        <v>440</v>
      </c>
      <c r="F28" s="1">
        <v>448</v>
      </c>
      <c r="G28" s="1">
        <v>0</v>
      </c>
      <c r="H28" s="2">
        <v>1.7999999999999999E-2</v>
      </c>
      <c r="I28" s="3">
        <v>0</v>
      </c>
      <c r="J28">
        <v>42</v>
      </c>
      <c r="K28" t="s">
        <v>17</v>
      </c>
      <c r="L28" t="s">
        <v>26</v>
      </c>
      <c r="M28" s="2">
        <f>AVERAGE(H28:H29)</f>
        <v>8.9999999999999993E-3</v>
      </c>
    </row>
    <row r="29" spans="1:13" x14ac:dyDescent="0.2">
      <c r="A29" s="1">
        <v>996420</v>
      </c>
      <c r="B29" t="s">
        <v>12</v>
      </c>
      <c r="C29" s="1">
        <v>1304</v>
      </c>
      <c r="D29" s="1">
        <v>0</v>
      </c>
      <c r="E29" s="1">
        <v>251</v>
      </c>
      <c r="F29" s="1">
        <v>237</v>
      </c>
      <c r="G29" s="1">
        <v>0</v>
      </c>
      <c r="H29" s="1">
        <v>0</v>
      </c>
      <c r="I29" s="1">
        <v>0</v>
      </c>
      <c r="J29">
        <v>42</v>
      </c>
      <c r="K29" t="s">
        <v>17</v>
      </c>
      <c r="L29" t="s">
        <v>26</v>
      </c>
    </row>
    <row r="30" spans="1:13" x14ac:dyDescent="0.2">
      <c r="A30" s="1">
        <v>1009009</v>
      </c>
      <c r="B30" t="s">
        <v>12</v>
      </c>
      <c r="C30" s="1">
        <v>1305</v>
      </c>
      <c r="D30" s="1">
        <v>0</v>
      </c>
      <c r="E30" s="1">
        <v>438</v>
      </c>
      <c r="F30" s="1">
        <v>433</v>
      </c>
      <c r="G30" s="1">
        <v>0</v>
      </c>
      <c r="H30" s="1">
        <v>0</v>
      </c>
      <c r="I30" s="1">
        <v>0</v>
      </c>
      <c r="J30">
        <v>42</v>
      </c>
      <c r="K30" t="s">
        <v>17</v>
      </c>
      <c r="L30" t="s">
        <v>26</v>
      </c>
    </row>
    <row r="31" spans="1:13" x14ac:dyDescent="0.2">
      <c r="A31" s="1">
        <v>1032533</v>
      </c>
      <c r="B31" t="s">
        <v>12</v>
      </c>
      <c r="C31" s="1">
        <v>1306</v>
      </c>
      <c r="D31" s="1">
        <v>0</v>
      </c>
      <c r="E31" s="1">
        <v>298</v>
      </c>
      <c r="F31" s="1">
        <v>302</v>
      </c>
      <c r="G31" s="1">
        <v>0</v>
      </c>
      <c r="H31" s="2">
        <v>1.2999999999999999E-2</v>
      </c>
      <c r="I31" s="3">
        <v>0</v>
      </c>
      <c r="J31">
        <v>42</v>
      </c>
      <c r="K31" t="s">
        <v>18</v>
      </c>
      <c r="L31" t="s">
        <v>27</v>
      </c>
      <c r="M31" s="2">
        <f>AVERAGE(H31:H32)</f>
        <v>1.35E-2</v>
      </c>
    </row>
    <row r="32" spans="1:13" x14ac:dyDescent="0.2">
      <c r="A32" s="1">
        <v>1044307</v>
      </c>
      <c r="B32" t="s">
        <v>12</v>
      </c>
      <c r="C32" s="1">
        <v>1307</v>
      </c>
      <c r="D32" s="1">
        <v>0</v>
      </c>
      <c r="E32" s="1">
        <v>340</v>
      </c>
      <c r="F32" s="1">
        <v>345</v>
      </c>
      <c r="G32" s="1">
        <v>0</v>
      </c>
      <c r="H32" s="2">
        <v>1.4E-2</v>
      </c>
      <c r="I32" s="3">
        <v>0</v>
      </c>
      <c r="J32">
        <v>42</v>
      </c>
      <c r="K32" t="s">
        <v>18</v>
      </c>
      <c r="L32" t="s">
        <v>27</v>
      </c>
    </row>
    <row r="33" spans="1:13" x14ac:dyDescent="0.2">
      <c r="A33" s="1">
        <v>1064797</v>
      </c>
      <c r="B33" t="s">
        <v>12</v>
      </c>
      <c r="C33" s="1">
        <v>1308</v>
      </c>
      <c r="D33" s="1">
        <v>0</v>
      </c>
      <c r="E33" s="1">
        <v>544</v>
      </c>
      <c r="F33" s="1">
        <v>594</v>
      </c>
      <c r="G33" s="1">
        <v>0</v>
      </c>
      <c r="H33" s="2">
        <v>8.4000000000000005E-2</v>
      </c>
      <c r="I33" s="3">
        <v>0</v>
      </c>
      <c r="J33">
        <v>42</v>
      </c>
      <c r="K33" t="s">
        <v>19</v>
      </c>
      <c r="L33" t="s">
        <v>28</v>
      </c>
      <c r="M33" s="2">
        <f>AVERAGE(H33:H34)</f>
        <v>5.5500000000000001E-2</v>
      </c>
    </row>
    <row r="34" spans="1:13" x14ac:dyDescent="0.2">
      <c r="A34" s="1">
        <v>1075489</v>
      </c>
      <c r="B34" t="s">
        <v>12</v>
      </c>
      <c r="C34" s="1">
        <v>1309</v>
      </c>
      <c r="D34" s="1">
        <v>0</v>
      </c>
      <c r="E34" s="1">
        <v>569</v>
      </c>
      <c r="F34" s="1">
        <v>585</v>
      </c>
      <c r="G34" s="1">
        <v>0</v>
      </c>
      <c r="H34" s="2">
        <v>2.7E-2</v>
      </c>
      <c r="I34" s="3">
        <v>0</v>
      </c>
      <c r="J34">
        <v>42</v>
      </c>
      <c r="K34" t="s">
        <v>19</v>
      </c>
      <c r="L34" t="s">
        <v>28</v>
      </c>
    </row>
    <row r="35" spans="1:13" x14ac:dyDescent="0.2">
      <c r="A35" s="1">
        <v>1092795</v>
      </c>
      <c r="B35" t="s">
        <v>12</v>
      </c>
      <c r="C35" s="1">
        <v>1310</v>
      </c>
      <c r="D35" s="1">
        <v>0</v>
      </c>
      <c r="E35" s="1">
        <v>0</v>
      </c>
      <c r="F35" s="1">
        <v>3</v>
      </c>
      <c r="G35" s="1">
        <v>0</v>
      </c>
      <c r="H35" s="1">
        <v>0</v>
      </c>
      <c r="I35" s="1">
        <v>0</v>
      </c>
      <c r="J35">
        <v>42</v>
      </c>
      <c r="K35" t="s">
        <v>24</v>
      </c>
    </row>
    <row r="36" spans="1:13" x14ac:dyDescent="0.2">
      <c r="A36" s="1">
        <v>1103505</v>
      </c>
      <c r="B36" t="s">
        <v>12</v>
      </c>
      <c r="C36" s="1">
        <v>1311</v>
      </c>
      <c r="D36" s="1">
        <v>0</v>
      </c>
      <c r="E36" s="1">
        <v>241</v>
      </c>
      <c r="F36" s="1">
        <v>274</v>
      </c>
      <c r="G36" s="1">
        <v>0</v>
      </c>
      <c r="H36" s="2">
        <v>0.12</v>
      </c>
      <c r="I36" s="3">
        <v>0</v>
      </c>
      <c r="J36">
        <v>42</v>
      </c>
      <c r="K36" t="s">
        <v>20</v>
      </c>
      <c r="L36" t="s">
        <v>29</v>
      </c>
      <c r="M36" s="2">
        <f>AVERAGE(H39,H36)</f>
        <v>9.7500000000000003E-2</v>
      </c>
    </row>
    <row r="37" spans="1:13" x14ac:dyDescent="0.2">
      <c r="A37" s="1">
        <v>1117052</v>
      </c>
      <c r="B37" t="s">
        <v>12</v>
      </c>
      <c r="C37" s="1">
        <v>1312</v>
      </c>
      <c r="D37" s="1">
        <v>0</v>
      </c>
      <c r="E37" s="1">
        <v>107</v>
      </c>
      <c r="F37" s="1">
        <v>151</v>
      </c>
      <c r="G37" s="1">
        <v>0</v>
      </c>
      <c r="H37" s="2">
        <v>0.29099999999999998</v>
      </c>
      <c r="I37" s="3">
        <v>0</v>
      </c>
      <c r="J37">
        <v>42</v>
      </c>
      <c r="K37" t="s">
        <v>20</v>
      </c>
      <c r="L37" t="s">
        <v>29</v>
      </c>
    </row>
    <row r="38" spans="1:13" x14ac:dyDescent="0.2">
      <c r="A38" s="1">
        <v>1129859</v>
      </c>
      <c r="B38" t="s">
        <v>12</v>
      </c>
      <c r="C38" s="1">
        <v>1313</v>
      </c>
      <c r="D38" s="1">
        <v>0</v>
      </c>
      <c r="E38" s="1">
        <v>91</v>
      </c>
      <c r="F38" s="1">
        <v>140</v>
      </c>
      <c r="G38" s="1">
        <v>0</v>
      </c>
      <c r="H38" s="2">
        <v>0.35</v>
      </c>
      <c r="I38" s="3">
        <v>0</v>
      </c>
      <c r="J38">
        <v>42</v>
      </c>
      <c r="K38" t="s">
        <v>20</v>
      </c>
      <c r="L38" t="s">
        <v>29</v>
      </c>
    </row>
    <row r="39" spans="1:13" x14ac:dyDescent="0.2">
      <c r="A39" s="1">
        <v>1142648</v>
      </c>
      <c r="B39" t="s">
        <v>12</v>
      </c>
      <c r="C39" s="1">
        <v>1314</v>
      </c>
      <c r="D39" s="1">
        <v>0</v>
      </c>
      <c r="E39" s="1">
        <v>260</v>
      </c>
      <c r="F39" s="1">
        <v>281</v>
      </c>
      <c r="G39" s="1">
        <v>0</v>
      </c>
      <c r="H39" s="2">
        <v>7.5000000000000011E-2</v>
      </c>
      <c r="I39" s="3">
        <v>0</v>
      </c>
      <c r="J39">
        <v>42</v>
      </c>
      <c r="K39" t="s">
        <v>20</v>
      </c>
      <c r="L39" t="s">
        <v>29</v>
      </c>
    </row>
    <row r="40" spans="1:13" x14ac:dyDescent="0.2">
      <c r="A40" s="1">
        <v>1161627</v>
      </c>
      <c r="B40" t="s">
        <v>12</v>
      </c>
      <c r="C40" s="1">
        <v>1315</v>
      </c>
      <c r="D40" s="1">
        <v>0</v>
      </c>
      <c r="E40" s="1">
        <v>200</v>
      </c>
      <c r="F40" s="1">
        <v>241</v>
      </c>
      <c r="G40" s="1">
        <v>0</v>
      </c>
      <c r="H40" s="2">
        <v>0.17</v>
      </c>
      <c r="I40" s="3">
        <v>0</v>
      </c>
      <c r="J40">
        <v>42</v>
      </c>
      <c r="K40" t="s">
        <v>20</v>
      </c>
      <c r="L40" t="s">
        <v>29</v>
      </c>
    </row>
    <row r="41" spans="1:13" x14ac:dyDescent="0.2">
      <c r="A41" s="1">
        <v>1195925</v>
      </c>
      <c r="B41" t="s">
        <v>12</v>
      </c>
      <c r="C41" s="1">
        <v>1316</v>
      </c>
      <c r="D41" s="1">
        <v>0</v>
      </c>
      <c r="E41" s="1">
        <v>184</v>
      </c>
      <c r="F41" s="1">
        <v>185</v>
      </c>
      <c r="G41" s="1">
        <v>0</v>
      </c>
      <c r="H41" s="2">
        <v>5.0000000000000001E-3</v>
      </c>
      <c r="I41" s="3">
        <v>0</v>
      </c>
      <c r="J41">
        <v>42</v>
      </c>
      <c r="K41" t="s">
        <v>21</v>
      </c>
      <c r="L41" t="s">
        <v>30</v>
      </c>
      <c r="M41" s="2">
        <f>AVERAGE(H43,H41)</f>
        <v>1.55E-2</v>
      </c>
    </row>
    <row r="42" spans="1:13" x14ac:dyDescent="0.2">
      <c r="A42" s="1">
        <v>1206344</v>
      </c>
      <c r="B42" t="s">
        <v>12</v>
      </c>
      <c r="C42" s="1">
        <v>1317</v>
      </c>
      <c r="D42" s="1">
        <v>0</v>
      </c>
      <c r="E42" s="1">
        <v>217</v>
      </c>
      <c r="F42" s="1">
        <v>232</v>
      </c>
      <c r="G42" s="1">
        <v>0</v>
      </c>
      <c r="H42" s="2">
        <v>6.5000000000000002E-2</v>
      </c>
      <c r="I42" s="3">
        <v>0</v>
      </c>
      <c r="J42">
        <v>42</v>
      </c>
      <c r="K42" t="s">
        <v>21</v>
      </c>
      <c r="L42" t="s">
        <v>30</v>
      </c>
    </row>
    <row r="43" spans="1:13" x14ac:dyDescent="0.2">
      <c r="A43" s="1">
        <v>1217709</v>
      </c>
      <c r="B43" t="s">
        <v>12</v>
      </c>
      <c r="C43" s="1">
        <v>1318</v>
      </c>
      <c r="D43" s="1">
        <v>0</v>
      </c>
      <c r="E43" s="1">
        <v>184</v>
      </c>
      <c r="F43" s="1">
        <v>189</v>
      </c>
      <c r="G43" s="1">
        <v>0</v>
      </c>
      <c r="H43" s="2">
        <v>2.5999999999999999E-2</v>
      </c>
      <c r="I43" s="3">
        <v>0</v>
      </c>
      <c r="J43">
        <v>42</v>
      </c>
      <c r="K43" t="s">
        <v>21</v>
      </c>
      <c r="L43" t="s">
        <v>30</v>
      </c>
    </row>
    <row r="44" spans="1:13" x14ac:dyDescent="0.2">
      <c r="A44" s="1">
        <v>1236733</v>
      </c>
      <c r="B44" t="s">
        <v>12</v>
      </c>
      <c r="C44" s="1">
        <v>1319</v>
      </c>
      <c r="D44" s="1">
        <v>0</v>
      </c>
      <c r="E44" s="1">
        <v>425</v>
      </c>
      <c r="F44" s="1">
        <v>425</v>
      </c>
      <c r="G44" s="1">
        <v>0</v>
      </c>
      <c r="H44" s="2">
        <v>0</v>
      </c>
      <c r="I44" s="3">
        <v>0</v>
      </c>
      <c r="J44">
        <v>42</v>
      </c>
      <c r="K44" t="s">
        <v>22</v>
      </c>
      <c r="L44" t="s">
        <v>31</v>
      </c>
      <c r="M44" s="2">
        <f>AVERAGE(H44,H45)</f>
        <v>0</v>
      </c>
    </row>
    <row r="45" spans="1:13" x14ac:dyDescent="0.2">
      <c r="A45" s="1">
        <v>1245314</v>
      </c>
      <c r="B45" t="s">
        <v>12</v>
      </c>
      <c r="C45" s="1">
        <v>1320</v>
      </c>
      <c r="D45" s="1">
        <v>0</v>
      </c>
      <c r="E45" s="1">
        <v>376</v>
      </c>
      <c r="F45" s="1">
        <v>373</v>
      </c>
      <c r="G45" s="1">
        <v>0</v>
      </c>
      <c r="H45" s="1">
        <v>0</v>
      </c>
      <c r="I45" s="1">
        <v>0</v>
      </c>
      <c r="J45">
        <v>42</v>
      </c>
      <c r="K45" t="s">
        <v>22</v>
      </c>
      <c r="L45" t="s">
        <v>31</v>
      </c>
    </row>
    <row r="46" spans="1:13" x14ac:dyDescent="0.2">
      <c r="A46" s="1">
        <v>1256086</v>
      </c>
      <c r="B46" t="s">
        <v>12</v>
      </c>
      <c r="C46" s="1">
        <v>1321</v>
      </c>
      <c r="D46" s="1">
        <v>0</v>
      </c>
      <c r="E46" s="1">
        <v>395</v>
      </c>
      <c r="F46" s="1">
        <v>408</v>
      </c>
      <c r="G46" s="1">
        <v>0</v>
      </c>
      <c r="H46" s="2">
        <v>3.2000000000000001E-2</v>
      </c>
      <c r="I46" s="3">
        <v>0</v>
      </c>
      <c r="J46">
        <v>42</v>
      </c>
      <c r="K46" t="s">
        <v>22</v>
      </c>
      <c r="L46" t="s">
        <v>31</v>
      </c>
    </row>
    <row r="47" spans="1:13" x14ac:dyDescent="0.2">
      <c r="A47" s="1">
        <v>1278543</v>
      </c>
      <c r="B47" t="s">
        <v>12</v>
      </c>
      <c r="C47" s="1">
        <v>1322</v>
      </c>
      <c r="D47" s="1">
        <v>0</v>
      </c>
      <c r="E47" s="1">
        <v>295</v>
      </c>
      <c r="F47" s="1">
        <v>298</v>
      </c>
      <c r="G47" s="1">
        <v>0</v>
      </c>
      <c r="H47" s="2">
        <v>0.01</v>
      </c>
      <c r="I47" s="3">
        <v>0</v>
      </c>
      <c r="J47">
        <v>42</v>
      </c>
      <c r="K47" t="s">
        <v>23</v>
      </c>
      <c r="L47" t="s">
        <v>32</v>
      </c>
      <c r="M47" s="2">
        <f>AVERAGE(H47,H49)</f>
        <v>5.0000000000000001E-3</v>
      </c>
    </row>
    <row r="48" spans="1:13" x14ac:dyDescent="0.2">
      <c r="A48" s="1">
        <v>1288819</v>
      </c>
      <c r="B48" t="s">
        <v>12</v>
      </c>
      <c r="C48" s="1">
        <v>1323</v>
      </c>
      <c r="D48" s="1">
        <v>0</v>
      </c>
      <c r="E48" s="1">
        <v>289</v>
      </c>
      <c r="F48" s="1">
        <v>332</v>
      </c>
      <c r="G48" s="1">
        <v>0</v>
      </c>
      <c r="H48" s="2">
        <v>0.13</v>
      </c>
      <c r="I48" s="3">
        <v>0</v>
      </c>
      <c r="J48">
        <v>42</v>
      </c>
      <c r="K48" t="s">
        <v>23</v>
      </c>
      <c r="L48" t="s">
        <v>32</v>
      </c>
    </row>
    <row r="49" spans="1:13" x14ac:dyDescent="0.2">
      <c r="A49" s="1">
        <v>1300312</v>
      </c>
      <c r="B49" t="s">
        <v>12</v>
      </c>
      <c r="C49" s="1">
        <v>1324</v>
      </c>
      <c r="D49" s="1">
        <v>0</v>
      </c>
      <c r="E49" s="1">
        <v>261</v>
      </c>
      <c r="F49" s="1">
        <v>259</v>
      </c>
      <c r="G49" s="1">
        <v>0</v>
      </c>
      <c r="H49" s="1">
        <v>0</v>
      </c>
      <c r="I49" s="1">
        <v>0</v>
      </c>
      <c r="J49">
        <v>42</v>
      </c>
      <c r="K49" t="s">
        <v>23</v>
      </c>
      <c r="L49" t="s">
        <v>32</v>
      </c>
    </row>
    <row r="50" spans="1:13" x14ac:dyDescent="0.2">
      <c r="A50" s="1">
        <v>1314810</v>
      </c>
      <c r="B50" t="s">
        <v>12</v>
      </c>
      <c r="C50" s="1">
        <v>1325</v>
      </c>
      <c r="D50" s="1">
        <v>0</v>
      </c>
      <c r="E50" s="1">
        <v>0</v>
      </c>
      <c r="F50" s="1">
        <v>3</v>
      </c>
      <c r="G50" s="1">
        <v>0</v>
      </c>
      <c r="H50" s="1">
        <v>0</v>
      </c>
      <c r="I50" s="1">
        <v>0</v>
      </c>
      <c r="J50">
        <v>42</v>
      </c>
      <c r="K50" t="s">
        <v>24</v>
      </c>
      <c r="L50" t="s">
        <v>32</v>
      </c>
    </row>
    <row r="51" spans="1:13" x14ac:dyDescent="0.2">
      <c r="A51" s="1">
        <v>1362193</v>
      </c>
      <c r="B51" t="s">
        <v>12</v>
      </c>
      <c r="C51" s="1">
        <v>1326</v>
      </c>
      <c r="D51" s="1">
        <v>0</v>
      </c>
      <c r="E51" s="1">
        <v>121</v>
      </c>
      <c r="F51" s="1">
        <v>165</v>
      </c>
      <c r="G51" s="1">
        <v>0</v>
      </c>
      <c r="H51" s="2">
        <v>0.26700000000000002</v>
      </c>
      <c r="I51" s="3">
        <v>0</v>
      </c>
      <c r="J51">
        <v>42</v>
      </c>
      <c r="K51" t="s">
        <v>20</v>
      </c>
      <c r="L51" t="s">
        <v>29</v>
      </c>
      <c r="M5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Marlen Schlotheuber</cp:lastModifiedBy>
  <dcterms:created xsi:type="dcterms:W3CDTF">2024-04-24T12:56:57Z</dcterms:created>
  <dcterms:modified xsi:type="dcterms:W3CDTF">2024-04-25T13:44:48Z</dcterms:modified>
</cp:coreProperties>
</file>